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skol\Documents\CRITICAS CORA\"/>
    </mc:Choice>
  </mc:AlternateContent>
  <xr:revisionPtr revIDLastSave="0" documentId="13_ncr:1_{01A86586-8718-428E-90A9-85BCC7609F30}" xr6:coauthVersionLast="47" xr6:coauthVersionMax="47" xr10:uidLastSave="{00000000-0000-0000-0000-000000000000}"/>
  <bookViews>
    <workbookView xWindow="20370" yWindow="-120" windowWidth="20730" windowHeight="11160" xr2:uid="{7D728BE6-9048-4589-B5AB-F22A597A20CD}"/>
  </bookViews>
  <sheets>
    <sheet name="CESTA" sheetId="1" r:id="rId1"/>
  </sheets>
  <externalReferences>
    <externalReference r:id="rId2"/>
    <externalReference r:id="rId3"/>
  </externalReferences>
  <definedNames>
    <definedName name="_xlnm._FilterDatabase" localSheetId="0" hidden="1">CESTA!$A$1:$D$407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8" i="1" l="1"/>
  <c r="D307" i="1"/>
  <c r="D306" i="1"/>
  <c r="D299" i="1"/>
  <c r="D298" i="1"/>
  <c r="D297" i="1"/>
  <c r="D296" i="1"/>
  <c r="D295" i="1"/>
  <c r="D294" i="1"/>
  <c r="D261" i="1"/>
  <c r="D258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199" i="1"/>
  <c r="D198" i="1"/>
  <c r="D196" i="1"/>
  <c r="D195" i="1"/>
  <c r="D191" i="1"/>
  <c r="D189" i="1"/>
  <c r="D188" i="1"/>
  <c r="D187" i="1"/>
  <c r="D186" i="1"/>
  <c r="D185" i="1"/>
  <c r="D176" i="1"/>
  <c r="D174" i="1"/>
  <c r="D173" i="1"/>
  <c r="D171" i="1"/>
  <c r="D169" i="1"/>
  <c r="D161" i="1"/>
  <c r="D153" i="1"/>
  <c r="D151" i="1"/>
  <c r="D148" i="1"/>
  <c r="D144" i="1"/>
  <c r="D141" i="1"/>
  <c r="D140" i="1"/>
  <c r="D139" i="1"/>
  <c r="D136" i="1"/>
  <c r="D134" i="1"/>
  <c r="D133" i="1"/>
  <c r="D132" i="1"/>
  <c r="D127" i="1"/>
  <c r="D126" i="1"/>
  <c r="D125" i="1"/>
  <c r="D123" i="1"/>
  <c r="D121" i="1"/>
  <c r="D117" i="1"/>
  <c r="D116" i="1"/>
  <c r="D115" i="1"/>
  <c r="D112" i="1"/>
  <c r="D64" i="1"/>
</calcChain>
</file>

<file path=xl/sharedStrings.xml><?xml version="1.0" encoding="utf-8"?>
<sst xmlns="http://schemas.openxmlformats.org/spreadsheetml/2006/main" count="1122" uniqueCount="415">
  <si>
    <t>cod</t>
  </si>
  <si>
    <t>cesta</t>
  </si>
  <si>
    <t>produto</t>
  </si>
  <si>
    <t>CESTA2</t>
  </si>
  <si>
    <t>CERVEJA</t>
  </si>
  <si>
    <t>BRAHMA CHOPP LATA 350ML SH C/12 NPAL CEARA</t>
  </si>
  <si>
    <t>OW</t>
  </si>
  <si>
    <t>BRAHMA CHOPP LATA 350ML SH C/12 NPAL SAO LUIS</t>
  </si>
  <si>
    <t>WALS SESSION HAZE ONE WAY 600ML CX C/12 ARTE</t>
  </si>
  <si>
    <t>SKOL LT 269ML SH C15 NPAL</t>
  </si>
  <si>
    <t>LOHN BIER CATHARINA SOUR BERGAMOTA LN 355ML CX C12 NPA</t>
  </si>
  <si>
    <t>BUDWEISER LATA 310ML CX C/6</t>
  </si>
  <si>
    <t>SKOL LATA 350ML SH C/12 NPAL</t>
  </si>
  <si>
    <t>SKOL LT 269ML SH C15 NPAL DIA</t>
  </si>
  <si>
    <t>ANTARCTICA PILSEN LT 473ML CX CARTAO C/12</t>
  </si>
  <si>
    <t>COLORADO YBA-YA ONE WAY 600ML CX C-12 ARTE</t>
  </si>
  <si>
    <t>COLORADO APPIA LATA 410ML PACK 12</t>
  </si>
  <si>
    <t>MOTIM HELL DE JANEIRO ONE WAY 600ML CX C-12 ARTE</t>
  </si>
  <si>
    <t>STELLA ARTOIS LG LONG NECK 330ML SIX-PACK SHRINK C/4</t>
  </si>
  <si>
    <t>PATAGONIA WEISSE LN 355 CX C/12 EXPORTACAO</t>
  </si>
  <si>
    <t>SPATEN N GFA OW 600ML CX C/24</t>
  </si>
  <si>
    <t>ISLA HARD SELTZER FRAMBOESA E AMORA LT 269ML CX C 6</t>
  </si>
  <si>
    <t>BRAHMA CHOPP LATA 350ML SHRINK C/12</t>
  </si>
  <si>
    <t>SKOL LATA 550ML SHRINK C/12</t>
  </si>
  <si>
    <t>POLAR EXPORT LATA 350ML SH C/12 NPAL DIA DO GAUCHO</t>
  </si>
  <si>
    <t>BOHEMIA RESERVA ESCURA ONE WAY 600ML CX 12</t>
  </si>
  <si>
    <t>BRAHMA EXTRA LAGER LATA 350ML CX CARTAO C/12 NPAL</t>
  </si>
  <si>
    <t>KONA HANALEI OW 355ML SIXPACK C/4 NPAL</t>
  </si>
  <si>
    <t>BLUE POINT OKTOBERFEST ONE WAY 355ML CX C/4 SIX PACK</t>
  </si>
  <si>
    <t>SKOL PURO MALTE LATA 350ML PACK C/6</t>
  </si>
  <si>
    <t>BRAHMA DUPLO MALTE LATA 410ML SH C/12 MULTPACK 12</t>
  </si>
  <si>
    <t>PATAGONIA IPA LT SLEEK 350ML C 8 CX CARTAO</t>
  </si>
  <si>
    <t>MATCH</t>
  </si>
  <si>
    <t>SKOL BEATS FROST LT 269ML CX C/8 FRIDGE PACK</t>
  </si>
  <si>
    <t>WALS MAD LAB ROSSA ONE WAY 375ML CX C/12 ARTE</t>
  </si>
  <si>
    <t>WALS LAGOINHA ONE WAY 600ML CX C/12 ARTE</t>
  </si>
  <si>
    <t>ORIGINAL LATA 350ML SH C/18 NPAL MULTPACK 18</t>
  </si>
  <si>
    <t>BUDWEISER LT SLEEK 350ML SH C 12</t>
  </si>
  <si>
    <t>WALS LAGOINHA LT SLEEK 350ML C 8 CX CARTAO</t>
  </si>
  <si>
    <t>ORIGINAL LONG NECK 330ML SIX-PACK SHRINK C/2</t>
  </si>
  <si>
    <t>SKOL LT 269ML CX CARTAO C/15</t>
  </si>
  <si>
    <t>BRAHVA CHOPP LATA 473ML TWELVE-PACK BANDEJA C/2 CEN SMK</t>
  </si>
  <si>
    <t>SKOL BEATS SENSES LT 269ML SH C15 NPAL PROMO PACK</t>
  </si>
  <si>
    <t>BUDWEISER 66 ONE WAY 550ML CX C/12 NPAL PARAGUAI</t>
  </si>
  <si>
    <t>SKOL LATA 350ML SH C/12 NPAL CARNAFACUL SP</t>
  </si>
  <si>
    <t>SKOL BEATS SPIRIT LT 269ML CX C/8 FRIDGE PACK</t>
  </si>
  <si>
    <t>HOEGAARDEN GRAND CRU ONE WAY 330ML CX C/24 EW KTN</t>
  </si>
  <si>
    <t>STELLA ARTOIS LT 310ML CX C/8 FRIDGE PACK</t>
  </si>
  <si>
    <t>BRAHVA CHOPP GARRAFA VIDRO 1L CAIXA C/12 EXPORTACAO</t>
  </si>
  <si>
    <t>SKOL BEATS ZODIAC AR LT 269ML CX CARTAO C/8 NPAL</t>
  </si>
  <si>
    <t>SKOL LATA 350ML SH C/12 NPAL CAMALEAO</t>
  </si>
  <si>
    <t>BUDWEISER LT 473ML SH C/12 NPAL</t>
  </si>
  <si>
    <t>GOOSE ISLAND 312 ONE WAY 355ML CX C/ 2 TWELVE PACK</t>
  </si>
  <si>
    <t>WALS MAD LAB AROEIRA ONE WAY 375ML CX C/12 ARTE</t>
  </si>
  <si>
    <t>WALS ITALIANA ONE WAY 375ML CX C/12 ARTE</t>
  </si>
  <si>
    <t>PILSEN ONE WAY 960ML CX PAPELAO C/12</t>
  </si>
  <si>
    <t>BRAHVA CHOPP LATA 355ML CAIXA C/24 CON PRECIO</t>
  </si>
  <si>
    <t>REDHOOK ESL OW 355ML SIXPACK C-4 NPAL</t>
  </si>
  <si>
    <t>BRAHMA CHOPP LT SLEEK 350ML SH C 12 CONFIANCA</t>
  </si>
  <si>
    <t>SERRANA LATA 350ML SH C/12 NPAL</t>
  </si>
  <si>
    <t>BRAHMA CHOPP LATA 350ML SH C/12 NPAL CAMAROTE</t>
  </si>
  <si>
    <t>RGB</t>
  </si>
  <si>
    <t>SKOL 360 GFA VD 1L</t>
  </si>
  <si>
    <t>BRAHMA CHOPP GFA VD 1L</t>
  </si>
  <si>
    <t>SKOL BEATS GT LONG NECK 269ML SIX-PACK SH C/2</t>
  </si>
  <si>
    <t>BRAHMA EXTRA LAGER 600ML</t>
  </si>
  <si>
    <t>STELLA ARTOIS LONG NECK 330ML RGB</t>
  </si>
  <si>
    <t>NOSSA PERNAMBUCO GFA VD 300ML CX C/23</t>
  </si>
  <si>
    <t>WALS TRIPPEL B AGED ONE WAY 375ML CX C/12 ARTE</t>
  </si>
  <si>
    <t>ANTARCTICA PILSEN ONE WAY 300ML CXPAP12 MULTPACK</t>
  </si>
  <si>
    <t>SPATEN N LN 355ML SIXPACK SH C/4</t>
  </si>
  <si>
    <t>FROZEN BEATS GT SACHE 100ML CX 72</t>
  </si>
  <si>
    <t>ANTARCTICA SUBZERO SILVER 600ML</t>
  </si>
  <si>
    <t>STELLA ARTOIS ONE WAY 330ML SIXPACK CX4</t>
  </si>
  <si>
    <t>LEFFE BLONDE ONE WAY 330ML CX C/24</t>
  </si>
  <si>
    <t>BOHEMIA LT 269ML CX C/8 FRIDGE PACK</t>
  </si>
  <si>
    <t>STELLE&amp;STRISCE ONE WAY 330ML CX C-12</t>
  </si>
  <si>
    <t>STELLA ARTOIS LATA XSLEEK 410ML CX C12</t>
  </si>
  <si>
    <t>ANDES N LA UNICA LT SLEEK 350ML CX CART C 12</t>
  </si>
  <si>
    <t>MALZBIER BRAHMA LONG NECK 355ML TWELVE-PACK BANDEJA C/2</t>
  </si>
  <si>
    <t>BOHEMIA GFA VD 990ML</t>
  </si>
  <si>
    <t>CORONA EXTRA ONE WAY 355ML SIXPACK C/4</t>
  </si>
  <si>
    <t>BRAHMA CHOPP OW 1L C/12 GARRAFEIRA DESCARTAVEL</t>
  </si>
  <si>
    <t>SKOL LATA 350ML CX CARTAO C/12 NPAL</t>
  </si>
  <si>
    <t>SKOL LATA 350ML SH C/18 NPAL MULTPACK</t>
  </si>
  <si>
    <t>KIT WALS MAD LAB PANETONNE ALE OW 375ML CX C/9 KIT</t>
  </si>
  <si>
    <t>MAGNIFICA LATA 350ML SH C/12 NPAL</t>
  </si>
  <si>
    <t>BUDWEISER ZERO LONG NECK 330ML SIX-PACK SHRINK C/4</t>
  </si>
  <si>
    <t>LEFFE BRUNE ONE WAY 330ML CX C/24</t>
  </si>
  <si>
    <t>BOHEMIA ESCURA LONG NECK 355ML CX PAP C/24</t>
  </si>
  <si>
    <t>SERRAMALTE ONE WAY 600ML CX 12</t>
  </si>
  <si>
    <t>WALS QUADRUPPEL BARREL AGED ONE WAY 375ML CX C/12 ARTE</t>
  </si>
  <si>
    <t>BRAHMA EXTRA MARZEN LONG NECK 355ML SIX-PACK BANDEJA C/4 OKTOBERFE</t>
  </si>
  <si>
    <t>BUDWEISER ONE WAY 600ML CX C/12 NPAL NENO VERSION</t>
  </si>
  <si>
    <t>BRAHMA CHOPP LATA XSLEEK 330ML SH C 12</t>
  </si>
  <si>
    <t>COLORADO TROPICANA LT 269ML SH C12 NPAL</t>
  </si>
  <si>
    <t>ESMERA DE GOIAS 600ML</t>
  </si>
  <si>
    <t>ORIGINAL LT 269ML SH C15 NPAL</t>
  </si>
  <si>
    <t>BRAHMA CHOPP 600 CM3 ONE WAY CAIXA C/12 EXPORTACAO</t>
  </si>
  <si>
    <t>BRAHMA CHOPP LATA 350ML SH C/18 NPAL</t>
  </si>
  <si>
    <t>ANTARCTICA PILSEN LATA 550ML SHRINK C/12</t>
  </si>
  <si>
    <t>COLORADO DEMOISELLE ONE WAY 600ML CX C-12 ARTE</t>
  </si>
  <si>
    <t>SKOL HOPS LATA 350ML CX CARTAO C/12 NPAL</t>
  </si>
  <si>
    <t>COLORADO OKTOBERFEST ONE WAY 300ML CX C/12 ARTE</t>
  </si>
  <si>
    <t>WALS MAD LAB 20 BARREL ONE WAY 375ML CX C/12 ARTE</t>
  </si>
  <si>
    <t>BRAHMA CHOPP LONG NECK 355ML TWELVE-PACK</t>
  </si>
  <si>
    <t>BUDWEISER GFA VD 300ML CX C/23</t>
  </si>
  <si>
    <t>BRAHMA CHOPP 600 ML ONE WAY CX 24</t>
  </si>
  <si>
    <t>SKOL ONE WAY 300ML CX C/24</t>
  </si>
  <si>
    <t>LEFFE 9 ONE WAY 250ML CX C/24</t>
  </si>
  <si>
    <t>COLORADO CAUIM ONE WAY 600ML CX C-12 ARTE</t>
  </si>
  <si>
    <t>SKOL BEATS SECRET LT 269ML CX C/8 FRIDGE PACK</t>
  </si>
  <si>
    <t>BRAHMA CHOPP LATA 350ML SH C/12 NPAL SAMBA MANAUS</t>
  </si>
  <si>
    <t>SKOL PURO MALTE LATA 410ML CX C/15 MULTPACK</t>
  </si>
  <si>
    <t>CORONITA EXTRA ONE WAY 207ML CAIXA C/24 GT MERCADO</t>
  </si>
  <si>
    <t>SKOL BEATS 150 BPM GRANEL</t>
  </si>
  <si>
    <t>BEATS MOJITO LT 269ML SH C15 NPAL</t>
  </si>
  <si>
    <t>SKOL BEATS LT 269ML SH TRANSP C/15</t>
  </si>
  <si>
    <t>CORONA CERO SUNBREW N LONG NECK 330 ML SP BASKET CX C4</t>
  </si>
  <si>
    <t>STELLA ARTOIS PURE GOLD LT SLEEK 350ML C 8 CX CARTAO</t>
  </si>
  <si>
    <t>BUDWEISER LT 269ML SH C 15</t>
  </si>
  <si>
    <t>MICHELOB ULTRA N LONG NECK 330ML SIX-PACK SHRINK C/4</t>
  </si>
  <si>
    <t>STELLA ARTOIS LT SLEEK 350ML C 8 CX CARTAO</t>
  </si>
  <si>
    <t>CARACU LATA 350ML SH C/12 NPAL</t>
  </si>
  <si>
    <t>SKOL BEATS SENSES LT 269ML CX C/8 FRIDGE PACK</t>
  </si>
  <si>
    <t>SKOL BEATS CAIPIRINHA LONG NECK 269ML SIX-PACK SH C/4</t>
  </si>
  <si>
    <t>BOHEMIA NOVA EMBALAGEM LATA 350ML SH C/12 NPAL</t>
  </si>
  <si>
    <t>BRAHMA CHOPP GFA ALUMINIO 473ML SIXPACK SH C/4</t>
  </si>
  <si>
    <t>SKOL 600ML</t>
  </si>
  <si>
    <t>CORONITA EXTRA N OW 210ML CX C/4 SIX PACK</t>
  </si>
  <si>
    <t>ow</t>
  </si>
  <si>
    <t>BRAHMA CHOPP GFA VD 300ML CX C/23</t>
  </si>
  <si>
    <t>BRAHMA CHOPP GFA VD 1L COM TTC</t>
  </si>
  <si>
    <t>ANTARCTICA PILSEN LATA 350ML SH C/12 NPAL</t>
  </si>
  <si>
    <t>SKOL BEATS GT LT 269ML SH C15 NPAL</t>
  </si>
  <si>
    <t>SKOL BEATS LONG NECK 330ML SIX-PACK SHRINK C/4</t>
  </si>
  <si>
    <t>SKOL BEATS ZODIAC FOGO LT 269ML CX CARTAO C/8 NPAL</t>
  </si>
  <si>
    <t>CORONA CERO SUNBREW N LT SLEEK 350ML C 8 CX CARTAO</t>
  </si>
  <si>
    <t>ORIGINAL LATA 350ML SHRINK C/12 MULTPACK</t>
  </si>
  <si>
    <t>STELLA ARTOIS ONE WAY 600ML CX C/12 NPAL</t>
  </si>
  <si>
    <t>BRAHMA CHOPP LATA 350ML SH C/12 NPAL</t>
  </si>
  <si>
    <t>SKOL BEATS ZODIAC AGUA LT 269ML CX CARTAO C/8 NPAL</t>
  </si>
  <si>
    <t>ANTARCTICA PILSEN 600ML</t>
  </si>
  <si>
    <t>BEATS TROPICAL LT 269ML CX CARTAO C/8 NPAL</t>
  </si>
  <si>
    <t>SKOL BEATS EXTREME GRANEL CERV. PILSEN</t>
  </si>
  <si>
    <t>ORIGINAL LATA 350ML SH C/12 NPAL</t>
  </si>
  <si>
    <t>BRAHMA CHOPP ZERO LN 355ML SIXPACK CX CART C/04</t>
  </si>
  <si>
    <t>BRAHMA CHOPP LT 269ML SH C15 NPAL</t>
  </si>
  <si>
    <t>BEATS MOJITO LT 269ML CX CARTAO C/8 NPAL</t>
  </si>
  <si>
    <t>CORONA EXTRA N ONE WAY 600ML GARRAFEIRA C/24</t>
  </si>
  <si>
    <t>STELLA ARTOIS PURE GOLD LONG NECK 330ML SP SH C/4</t>
  </si>
  <si>
    <t>FROZEN BEATS GINGER SACHE 100ML CX 72</t>
  </si>
  <si>
    <t>SKOL BEATS SPIRIT LONG NECK 313ML SIX-PACK SH C/4</t>
  </si>
  <si>
    <t>SKOL BEATS SENSES LONG NECK 269ML SIX-PACK SH C/4</t>
  </si>
  <si>
    <t>BRAHMA CHOPP 600ML</t>
  </si>
  <si>
    <t>FROZEN BEATS MINT SACHE 100ML CX 72</t>
  </si>
  <si>
    <t>CHOPP SKOL BEATS GRANEL</t>
  </si>
  <si>
    <t>SKOL GFA VD 1L 2,99</t>
  </si>
  <si>
    <t>SKOL BEATS TREME LT 269ML SH C15 NPAL</t>
  </si>
  <si>
    <t>STELLA ARTOIS 600 ML</t>
  </si>
  <si>
    <t>SKOL BEATS GT LONG NECK 269ML SIX-PACK SH C/4</t>
  </si>
  <si>
    <t>SKOL BEATS FIRE LT 269ML CX C/8 FRIDGE PACK</t>
  </si>
  <si>
    <t>SKOL BEATS 150 BPM PET 100ML SHIRINK C/15</t>
  </si>
  <si>
    <t>SKOL BEATS SENSES LATA 473ML SIX-PACK SH C/2 NPAL</t>
  </si>
  <si>
    <t>BUDWEISER GFA VD 990ML CX C/12</t>
  </si>
  <si>
    <t>rgb</t>
  </si>
  <si>
    <t>SKOL BEATS EXTREME LONG NECK 313ML SIX-PACK SH C/4</t>
  </si>
  <si>
    <t>SKOL BEATS GT LT 269ML CX CARTAO C/8 NPAL</t>
  </si>
  <si>
    <t>ANTARCTICA SUBZERO LATA 350ML SH C/12 NPAL</t>
  </si>
  <si>
    <t>SKOL BEATS SECRET LONG NECK 313ML SIX-PACK SH C/4</t>
  </si>
  <si>
    <t>BEATS TROPICAL LONG NECK 269ML SIX-PACK SH C/4</t>
  </si>
  <si>
    <t>SKOL BEATS CARVA LT 269ML SH C12 NPAL</t>
  </si>
  <si>
    <t>SKOL BEATS GT+MINT+GING LT 269ML CX C/ 6</t>
  </si>
  <si>
    <t>MICHELOB ULTRA N LT SLEEK 350ML C 8 CX CARTAO</t>
  </si>
  <si>
    <t>SKOL BEATS EXTREME LT 269ML CX CARTAO C/8 NPAL</t>
  </si>
  <si>
    <t>ANTARCTICA PILSEN GFA VD 300ML CX C/23</t>
  </si>
  <si>
    <t>ANTARCTICA SUBZERO 600ML</t>
  </si>
  <si>
    <t>SKOL BEATS SENSES PET 1 L SH C/06</t>
  </si>
  <si>
    <t>BRAHMA DUPLO MALTE LT SLEEK 350ML SH C 12</t>
  </si>
  <si>
    <t>SKOL BEATS ZODIAC TERRA LT 269ML CX CARTAO C/8 NPAL</t>
  </si>
  <si>
    <t>SKOL GFA VD 300ML CX C/23</t>
  </si>
  <si>
    <t>SPATEN N 600ML</t>
  </si>
  <si>
    <t>SKOL BEATS SENSES CAPSULA 44,0 ML CX C 10</t>
  </si>
  <si>
    <t>BRAHMA CHOPP ZERO LATA 350ML SH C/12 NPAL</t>
  </si>
  <si>
    <t>BUDWEISER LATA 473ML SIX-PACK SH C/2 NPAL</t>
  </si>
  <si>
    <t>BEATS MOSCOW MULE LT 269ML CX CARTAO C/8 NPAL</t>
  </si>
  <si>
    <t>SKOL BEATS CAIPIRINHA LT 269ML CX CARTAO C/8 NPAL</t>
  </si>
  <si>
    <t>STELLA ARTOIS LT 269ML CX C/8 FRIDGE PACK</t>
  </si>
  <si>
    <t>SKOL BEATS GT LONG NECK 313ML SIX-PACK SH C/4</t>
  </si>
  <si>
    <t>BRAHMA CHOPP ONE WAY 300ML CX C/23</t>
  </si>
  <si>
    <t>SKOL BEATS SPIRIT LT 269ML SH C15 NPAL</t>
  </si>
  <si>
    <t>SKOL BEATS GT LT 269ML SH C15 NPAL PROMO PACK</t>
  </si>
  <si>
    <t>MALZBIER BRAHMA LONG NECK 355ML SIX-PACK BANDEJA C/4</t>
  </si>
  <si>
    <t>CORONA EXTRA N LONG NECK 330ML CX C/24 NPAL</t>
  </si>
  <si>
    <t>SPATEN N ONE WAY 600ML CX C/12 NP ARTE</t>
  </si>
  <si>
    <t>BUDWEISER LT SLEEK 350ML CX CART C 12</t>
  </si>
  <si>
    <t>ORIGINAL 600ML</t>
  </si>
  <si>
    <t>BUDWEISER ZERO LT SLEEK 350ML C 8 CX CARTAO</t>
  </si>
  <si>
    <t>CORONA EXTRA N LT SLEEK 350ML C 8 CX CARTAO</t>
  </si>
  <si>
    <t>FROZEN BEATS MIX (GT+GINGER+MINT) SACHE 100ML CX C/6 MULTPACK</t>
  </si>
  <si>
    <t>BEATS SHAREABLE GFA PET OW 750ML CX C6</t>
  </si>
  <si>
    <t>SKOL BEATS SENSES LT 269ML SH C15 NPAL</t>
  </si>
  <si>
    <t>STELLA ARTOIS LONG NECK 330ML SIX-PACK SHRINK C/4</t>
  </si>
  <si>
    <t>BUDWEISER 600ML</t>
  </si>
  <si>
    <t>SKOL BEATS LT 269ML CX C/8 FRIDGE PACK</t>
  </si>
  <si>
    <t>ANTARCTICA PILSEN GFA VD 1L COM TTC</t>
  </si>
  <si>
    <t>SPATEN N LT SLEEK 350ML CX CART C 12</t>
  </si>
  <si>
    <t>SKOL BEATS SENSES LONG NECK 269ML SIX-PACK SH C/2</t>
  </si>
  <si>
    <t>SKOL BEATS SENSES LONG NECK 313ML SIX-PACK SH C/4</t>
  </si>
  <si>
    <t>ORIGINAL GFA VD 300ML CX C/23</t>
  </si>
  <si>
    <t>BUDWEISER OW 330ML CX C/24</t>
  </si>
  <si>
    <t>NAB</t>
  </si>
  <si>
    <t>TONICA ANTARCTICA LATA 350ML SH C/12 NPAL</t>
  </si>
  <si>
    <t>NAB ZERO</t>
  </si>
  <si>
    <t>TONICA ANTARCTICA DIET LATA 350ML SH C/12 NPAL</t>
  </si>
  <si>
    <t>SUKITA UVA PET 2L CAIXA C/6</t>
  </si>
  <si>
    <t>SUKITA PET 2L CAIXA C/6</t>
  </si>
  <si>
    <t>SUKITA PET 200ML SH C/12</t>
  </si>
  <si>
    <t>SUKITA PET 1L CAIXA C/12</t>
  </si>
  <si>
    <t>SUKITA LIMAO PET 2L CAIXA C/6</t>
  </si>
  <si>
    <t>SUKITA LATA 350ML SH C/12 NPAL</t>
  </si>
  <si>
    <t>SODA LIMONADA ANTARCTICA PET 2L CAIXA C/6</t>
  </si>
  <si>
    <t>SODA LIMONADA ANTARCTICA PET 200ML SH C/12</t>
  </si>
  <si>
    <t>SODA LIMONADA ANTARCTICA PET 1L CAIXA C/12</t>
  </si>
  <si>
    <t>SODA LIMONADA ANTARCTICA LATA 350ML SH C/12 NPAL</t>
  </si>
  <si>
    <t>SODA LIMONADA ANTARCTICA DIET PET 2L CAIXA C/6</t>
  </si>
  <si>
    <t>SODA LIMONADA ANTARCTICA DIET LATA 350ML SH C/12 NPAL</t>
  </si>
  <si>
    <t>PEPSI ZERO PET 2L CAIXA C/6</t>
  </si>
  <si>
    <t>PEPSI ZERO LATA 350ML SH C/12 NPAL</t>
  </si>
  <si>
    <t>PEPSI TWIST PET 2L SHRINK C/6</t>
  </si>
  <si>
    <t>PEPSI TWIST LATA 350ML SH C/12 NPAL</t>
  </si>
  <si>
    <t>PEPSI COLA PET 2L CAIXA C/6</t>
  </si>
  <si>
    <t>PEPSI COLA PET 200ML SH C/12</t>
  </si>
  <si>
    <t>PEPSI COLA PET 2,5L CAIXA C/6</t>
  </si>
  <si>
    <t>PEPSI COLA PET 1L CAIXA C/12</t>
  </si>
  <si>
    <t>PEPSI COLA LATA 350ML SH C/12 NPAL</t>
  </si>
  <si>
    <t>PEPSI BLACK PET 200ML SH C/12</t>
  </si>
  <si>
    <t>PEPSI BLACK PET 1 L SH C/12</t>
  </si>
  <si>
    <t>H2OH LIMONETO PET 500ML SHRINK C/12 NPAL</t>
  </si>
  <si>
    <t>GUARANA CHP ANTARCTICA PET 2L CAIXA C/6</t>
  </si>
  <si>
    <t>GUARANA CHP ANTARCTICA PET 200ML SH C/12</t>
  </si>
  <si>
    <t>GUARANA CHP ANTARCTICA PET 2,5L CAIXA C/6</t>
  </si>
  <si>
    <t>GUARANA CHP ANTARCTICA PET 1L CAIXA C/12</t>
  </si>
  <si>
    <t>GUARANA CHP ANTARCTICA LATA 350ML SH C/12 NPAL</t>
  </si>
  <si>
    <t>GUARANA CHP ANTARCTICA DIET PET 2L CAIXA C/6</t>
  </si>
  <si>
    <t>GUARANA CHP ANTARCTICA DIET LATA 350ML SH C/12 NPAL</t>
  </si>
  <si>
    <t>GUARANA ANTARCTICA ZERO PET 200ML SH C/12</t>
  </si>
  <si>
    <t>GUARANA ANTARCTICA ZERO PET 1L CAIXA C/12</t>
  </si>
  <si>
    <t>GATORADE UVA PET 500ML SIXPACK</t>
  </si>
  <si>
    <t>GATORADE TANGERINA PET 500ML SIXPACK</t>
  </si>
  <si>
    <t>GATORADE MORANGO-MARACUJA PET 500ML SIXPACK</t>
  </si>
  <si>
    <t>GATORADE LARANJA PET 500ML SIXPACK</t>
  </si>
  <si>
    <t>GATORADE BERRY BLUE PET 500ML SIXPACK</t>
  </si>
  <si>
    <t>FUSION PET 2L SHRINK C/6</t>
  </si>
  <si>
    <t>RED BULL</t>
  </si>
  <si>
    <t>RED BULL BR LATA 250ML CX C 24 NPAL .</t>
  </si>
  <si>
    <t>RED BULL SUGAR FREE BR LATA 250ML FOUR PACK NPAL .</t>
  </si>
  <si>
    <t>RED BULL BR LATA 473ML CX C 12</t>
  </si>
  <si>
    <t>RED BULL BR LATA 250ML SIX PACK NPAL .</t>
  </si>
  <si>
    <t>RED BULL TROPICAL BR LATA 250ML FOUR PACK NPAL .</t>
  </si>
  <si>
    <t>RED BULL SUMMER MARACUJA E MELAO LATA 250ML FOUR PACK NPAL</t>
  </si>
  <si>
    <t>RED BULL SUGAR FREE POMELO LATA 250ML FOUR PACK NPAL</t>
  </si>
  <si>
    <t>RED BULL MELANCIA LATA 250ML FOUR PACK NPAL</t>
  </si>
  <si>
    <t>MARKETPLACE</t>
  </si>
  <si>
    <t>SMIRNOFF ICE GARRAFA VD 275ML CX C24</t>
  </si>
  <si>
    <t>AGUA MIN LEV C/ GAS PET 500ML CAIXA C/12</t>
  </si>
  <si>
    <t>SMIRNOFF ICE LT 269 ML CX C/24</t>
  </si>
  <si>
    <t>SKOL LATA 350ML SH C/12 NPAL MULTIPACK</t>
  </si>
  <si>
    <t>AGUA MIN DIAS DAVILA C/GAS PET 500ML CAIXA C/12</t>
  </si>
  <si>
    <t>BEATS RED MIX LT 269ML SH C/8</t>
  </si>
  <si>
    <t>BRAHMA CHOPP LATA 350ML SH C/12 NPAL MULTIPACK .</t>
  </si>
  <si>
    <t>51 ICE KIWI GARRAFA VD 275ML CX C24</t>
  </si>
  <si>
    <t>51 ICE LIMAO GARRAFA VD 275ML CX C24</t>
  </si>
  <si>
    <t>51 ICE BALADA GARRAFA VD 275ML CX C24</t>
  </si>
  <si>
    <t>51 ICE FRUIT MIX MORANGO + LARANJA GARRAFA VD 275ML CX C24</t>
  </si>
  <si>
    <t>AGUA MIN DIAS DAVILA S/GAS PET 500ML CAIXA C/12</t>
  </si>
  <si>
    <t>AGUA MIN DIAS DAVILA S/GAS PET 1,5L CAIXA C/6</t>
  </si>
  <si>
    <t>TANG REFRESCO EM PO LIMAO PCT 18G DP C/18</t>
  </si>
  <si>
    <t>BEATS RED MIX LONG NECK 269ML SIX-PACK SH C/2</t>
  </si>
  <si>
    <t>PETROPOLIS AGUA MIN COM GAS GARRAFA PET 500MLCX C12</t>
  </si>
  <si>
    <t>AGUA MIN LEV S/ GAS PET 500ML CAIXA C/12</t>
  </si>
  <si>
    <t>AGUA MIN LEV S/ GAS PET 1500 CX06</t>
  </si>
  <si>
    <t>AGUA MIN PETROPOLIS S/GAS PET 1,5L CAIXA C/6</t>
  </si>
  <si>
    <t>PETROPOLIS AGUA MIN S GAS PET 510ML CAIXA C/12</t>
  </si>
  <si>
    <t>HALLS MELANCIA ENVELOPE 28G CX C/21</t>
  </si>
  <si>
    <t>FLORESTAL BALA GOMA BANANAS PCT PLAST 500G</t>
  </si>
  <si>
    <t>FLORESTAL BALA GOMA MINHOCAS AZ PCT PLAST 500G</t>
  </si>
  <si>
    <t>FLORESTAL BALA MENTA PCT PLAST 500G</t>
  </si>
  <si>
    <t>FLORESTAL BALA MENTA PCT PLAST 122G</t>
  </si>
  <si>
    <t>FLORESTAL BALA BOLINHA CANELA PCT PLAST 122G</t>
  </si>
  <si>
    <t>HALLS CEREJA ENVELOPE 28G CX C/21</t>
  </si>
  <si>
    <t>HALLS EXTRA FORTE ENVELOPE 28G CX C/21</t>
  </si>
  <si>
    <t>HALLS MENTA ENVELOPE 28G CX C/21</t>
  </si>
  <si>
    <t>HALLS MENTOL ENVELOPE 28G CX C/21</t>
  </si>
  <si>
    <t>HALLS UVA VERDE ENVELOPE 28G CX C/21</t>
  </si>
  <si>
    <t>TRIDENT CANELA ENVELOPE 8G CX C/21</t>
  </si>
  <si>
    <t>TRIDENT HORTELA ENVELOPE 8G CX C/21</t>
  </si>
  <si>
    <t>TRIDENT MENTA ENVELOPE 8G CX C/21</t>
  </si>
  <si>
    <t>TRIDENT XFRESH INTENSE ENVELOPE 8G CX21_</t>
  </si>
  <si>
    <t>HALLS MORANGO ENVELOPE 28G CX C/21</t>
  </si>
  <si>
    <t>TRIDENT TUTTI-FRUTTI ENVELOPE 8G CX C/21</t>
  </si>
  <si>
    <t>TRIDENT XFRESH HERBAL ENVELOPE 8G CX C/21</t>
  </si>
  <si>
    <t>TRIDENT XFRESH 5S PRETO CEREJA ENVELOPE 8G CX C/21</t>
  </si>
  <si>
    <t>CHOPP</t>
  </si>
  <si>
    <t>ORLOFF GARRAFA VIDRO 1 L</t>
  </si>
  <si>
    <t>BEATS GREEN MIX LONG NECK 269ML SIX-PACK SH C/4</t>
  </si>
  <si>
    <t>FLORESTAL BALA GOMA SININHOS PCT PLAST 150G</t>
  </si>
  <si>
    <t>FLORESTAL BALA GOMA BANANAS PCT PLAST 150G</t>
  </si>
  <si>
    <t>MKT</t>
  </si>
  <si>
    <t>PETROPOLIS AGUA MIN SEM GAS GARRAFA PET 500MLCX C12</t>
  </si>
  <si>
    <t>PASSPORT SELECTION GARRAFA VIDRO 1 L</t>
  </si>
  <si>
    <t>DOCES VIEIRA BRIGADEIRO PCT PLAST 23G POTE C/40</t>
  </si>
  <si>
    <t>ROQUE PINTO LICOR JENIPAPO GARRAFA VIDRO 900ML</t>
  </si>
  <si>
    <t>INDAIA BEB MISTA CITRUS LARANJA GFA PET 1,5L FD C/6</t>
  </si>
  <si>
    <t>YPE LAVA LOUCAS LIQUIDO MACA FRASCO PLASTICO 500 ML CX6</t>
  </si>
  <si>
    <t>YPE LAVA LOUCAS LIQ CAP LIMAO FRASCO PLASTICO 500 ML CX6</t>
  </si>
  <si>
    <t>H2OH LIMONETO LT SLEEK 350ML SH C 12</t>
  </si>
  <si>
    <t>SINGLE</t>
  </si>
  <si>
    <t>BUDWEISER LT SLEEK 350ML SH C 12 MULTIPACK</t>
  </si>
  <si>
    <t>SKOL ZERO LT 269ML SH C/15</t>
  </si>
  <si>
    <t>STELLA ARTOIS PURE GOLD 600ML</t>
  </si>
  <si>
    <t>YPE LAVA LOUCAS LIQUIDO CLEAR FRASCO PLAST 500ML CX/6</t>
  </si>
  <si>
    <t>SKOL ZERO LT SLEEK 350ML SH C 12</t>
  </si>
  <si>
    <t>YPE LAVA LOUCAS LIQUIDO NEUTRO FRASCO PLAST 500ML CX/6</t>
  </si>
  <si>
    <t>STELLA ARTOIS PURE GOLD ONE WAY 600ML CX C12 NP</t>
  </si>
  <si>
    <t>STELLA ARTOIS PURE GOLD LN 330ML SIXPACK</t>
  </si>
  <si>
    <t>BUDWEISER ZERO LN 330ML SIXPACK</t>
  </si>
  <si>
    <t>MICHELOB ULTRA N LN 330ML SIXPACK</t>
  </si>
  <si>
    <t>DOCES VIEIRA AMENDOIM JAP OLEH PCT 70G CX30</t>
  </si>
  <si>
    <t>INDAIA BEB MISTA CITRUS UVA GFA PET 330ML FD C/12</t>
  </si>
  <si>
    <t>YPE LAVA LOUCAS LIQUIDO COCO FRASCO PLASTICO 500 ML CX6</t>
  </si>
  <si>
    <t>FLORESTAL BALA GOMA SININHOS PCT PLAST 500G</t>
  </si>
  <si>
    <t xml:space="preserve">SKOL BEATS PRIDE LT 269ML CX CARTAO C/8 NPAL LOVE IS IN THE BEATS </t>
  </si>
  <si>
    <t>H2OH LIMAO C/GAS PET 500ML CAIXA C/12</t>
  </si>
  <si>
    <t>GATORADE LIMAO PET 500ML SIXPACK</t>
  </si>
  <si>
    <t>BALLANTINES FINEST GARRAFA VIDRO 1 L</t>
  </si>
  <si>
    <t>PIRASSUNUNGA 51 GARRAFA VIDRO 965ML</t>
  </si>
  <si>
    <t>PITU AGUARDENTE GARRAFA VD 600ML</t>
  </si>
  <si>
    <t>BEATS GREEN MIX LT 269ML SH C/8</t>
  </si>
  <si>
    <t>YPE LAVA LOUCAS LIQUIDO CLEAR FRASCO PLASTICO 500 ML C24</t>
  </si>
  <si>
    <t>YPE LAVA LOUCAS LIQUIDO LIMAO FRASCO PLASTICO 500 ML C24</t>
  </si>
  <si>
    <t>GUARANA CHP ANTARCTICA LATA 350ML SH C/12 NPAL MULTIPACK</t>
  </si>
  <si>
    <t>GUARANA ANTARCTICA ZERO LATA 350ML SH C/12 NPAL MULTIPACK</t>
  </si>
  <si>
    <t>FLORESTAL BALA MASTIG MINT HORTELA PCT PLAST 500G</t>
  </si>
  <si>
    <t>FLORESTAL BALA BOLINHA CANELA PCT PLAST 500G</t>
  </si>
  <si>
    <t>FLOPITO PIRULITO CHICLE CEREJA PCT PLAST 500G</t>
  </si>
  <si>
    <t>SMIRNOFF ORIGINAL GARRAFA VIDRO 998ML</t>
  </si>
  <si>
    <t>CACHACA 51 PIRASS OURO DESCARTAVEL GFA DE VDRO 965ML</t>
  </si>
  <si>
    <t>DOCES VIEIRA BEIJO DE MOCA PCT PLAST 23G POTE C/40</t>
  </si>
  <si>
    <t>SMIRNOFF VODKA N21 GFA PET 1,75L</t>
  </si>
  <si>
    <t>CHOPP BRAHMA CLARO BARRIL KEG 50L</t>
  </si>
  <si>
    <t>TRIDENT MELANCIA ENVELOPE 8G CX C/21</t>
  </si>
  <si>
    <t>DOCES VIEIRA PE DE MOCA PCT PLAST 23G POTE C/40</t>
  </si>
  <si>
    <t>JOHNNIE WALKER RED LABEL GARRAFA VIDRO 1 L</t>
  </si>
  <si>
    <t>ABSOLUT ORIGINAL GARRAFA VIDRO 1 L</t>
  </si>
  <si>
    <t>WHITE HORSE GARRAFA VIDRO 1 L</t>
  </si>
  <si>
    <t>OLD PARR WHISKY GFA VDR 1L</t>
  </si>
  <si>
    <t>DOCES VIEIRA BEIJO DE LEITE PCT PLAST 23G POTE C/40</t>
  </si>
  <si>
    <t>DOCES VIEIRA CHURRITOS PCT PLAST 23G POTE C/40</t>
  </si>
  <si>
    <t>DOCES VIEIRA COCADA BAIANA PCT PLAST 23G POTE C/40</t>
  </si>
  <si>
    <t>DOCES VIEIRA COCADA BRANCA PCT PLAST 23G POTE C/40</t>
  </si>
  <si>
    <t>YPE LAVA LOUCAS LIQUIDO COCO FRASCO PLASTICO 500 ML C24</t>
  </si>
  <si>
    <t>BUCHANANS WHISKY DELUXE 12 ANOS GARRAFA VIDRO 1 L</t>
  </si>
  <si>
    <t>FLORESTAL BALA MASTIG MOLE SORT PCT PLAST 100G</t>
  </si>
  <si>
    <t>QUINTA DO MORGADO VINHO TINTO SUAVE GFA VD 750 ML</t>
  </si>
  <si>
    <t>PITU AGUARDENTE GARRAFA VIDRO 965ML</t>
  </si>
  <si>
    <t>DOMECQ COQ. COMPOSTO GARRAFA VIDRO 1 L</t>
  </si>
  <si>
    <t>OREO ORIGINAL BISCOITO RECHEADO PACOTE 36G CX8</t>
  </si>
  <si>
    <t>PITU AGUARDENTE LT 350ML CX C/12</t>
  </si>
  <si>
    <t>MINI OREO PCT 35G CX C/10</t>
  </si>
  <si>
    <t>BLACK &amp; WHITE WHISKY GFA VIDRO 700ML</t>
  </si>
  <si>
    <t>FLOPITO PIRULITO CORACAO VERMELHO PCT 120G</t>
  </si>
  <si>
    <t>CACHACA 51 LT 350ML CX C/12</t>
  </si>
  <si>
    <t>TRIDENT MORANGO ENVELOPE 8G CX C/21</t>
  </si>
  <si>
    <t>CACHACA 51 MEL GFA VD 740ML</t>
  </si>
  <si>
    <t>POP KISS PIRULITO CEREJA PCT 120G</t>
  </si>
  <si>
    <t>FLOPITO PIRULITO CHICLE G TUTTI FRUTTI PCT 125G</t>
  </si>
  <si>
    <t>YPE LAVA LOUCAS LIQUIDO NEUTRO FRASCO PLASTICO 500 ML C24</t>
  </si>
  <si>
    <t>FLOPITO PIRULITO CHICLE GIGA ENERG PCT PLAS 600G</t>
  </si>
  <si>
    <t>AGUA MIN PURA LEVE S/GAS COPO 200ML CAIXA C/48</t>
  </si>
  <si>
    <t>JOHNNIE WALKER BLACK LABEL GARRAFA VIDRO 1 L</t>
  </si>
  <si>
    <t>FLORESTAL BALA MASTIG MOLE SORT PCT PLAST 500G</t>
  </si>
  <si>
    <t>BLACK &amp; WHITE WHISKY GFA VDR 1L</t>
  </si>
  <si>
    <t>BUDWEISER GFA VD 1L</t>
  </si>
  <si>
    <t>FLOPITO PIRULITO CORACAO VERMELHO PCT PLAST 500G</t>
  </si>
  <si>
    <t>FLORESTAL BALINHA CORAC MORANGO PCT PLAST 108 G</t>
  </si>
  <si>
    <t>CACHACA 51 LATA DE ALUMINIO 473ML CX12</t>
  </si>
  <si>
    <t>POP KISS PIRULITO CEREJA PCT PLAST 500G</t>
  </si>
  <si>
    <t>OLD PARR WHISKY 12 ANOS GFA VD 750 ML</t>
  </si>
  <si>
    <t>FLORESTAL BALINHA CORAC MORANGO PCT PLAST 500G</t>
  </si>
  <si>
    <t>FLOPITO PIRULITO CHICLE G TUTTI FRUTTI PCT PLAS 600G</t>
  </si>
  <si>
    <t>FLOPITO PIRULITO CHICLE CEREJA PCT 120G</t>
  </si>
  <si>
    <t>FLOPITO PIRULITO FRUTAS PCT 120G</t>
  </si>
  <si>
    <t>FLORESTAL BALA GOMA MINHOCAS AZ PCT PLAST 150G</t>
  </si>
  <si>
    <t>YPE LAVA LOUCAS LIQUIDO MACA FRASCO PLASTICO 500 ML C24</t>
  </si>
  <si>
    <t>DOCES VIEIRA BRIGADEIRO PCT PLAST 23G CX C/240</t>
  </si>
  <si>
    <t>BUCHANANS WHISKY DELUXE 12 ANOS GARRAFA VIDRO 750ML</t>
  </si>
  <si>
    <t>TANQUERAY GIN LONDON DRY GARRAFA VIDRO 750ML</t>
  </si>
  <si>
    <t>ROQUE PINTO LICOR MARACUJA GARRAFA VIDRO 900ML</t>
  </si>
  <si>
    <t>ARRAIA DO QUIABO LICOR FNO MARACUJA GARRAFA VIDRO 900ML</t>
  </si>
  <si>
    <t>ARRAIA DO QUIABO LICOR FNO PASSAS GARRAFA VIDRO 900ML</t>
  </si>
  <si>
    <t>ARRAIA DO QUIABO LICOR FNO TAMARINDO GARRAFA VIDRO 900ML</t>
  </si>
  <si>
    <t>ARRAIA DO QUIABO LICOR FINO JENIPAPO GARRAFA VIDRO 900ML</t>
  </si>
  <si>
    <t>ARRAIA DO QUIABO LICOR FNO LIMAO GARRAFA VIDRO 900ML</t>
  </si>
  <si>
    <t>DOMUS CONHAQUE GARRAFA VIDRO 900ML</t>
  </si>
  <si>
    <t>TANG REFRESCO EM PO MARACUJA PCT 18G DP C/18</t>
  </si>
  <si>
    <t>INDAIA BEB MISTA CITRUS LARANJA GFA PET 330ML FD C/12</t>
  </si>
  <si>
    <t>TANG REFRESCO EM PO MORANGO PCT 18G DP C/18</t>
  </si>
  <si>
    <t>TANG REFRESCO EM PO LARANJA PCT 18G DP C/18</t>
  </si>
  <si>
    <t>CORONA EXTRA N LN 330ML SIXPACK</t>
  </si>
  <si>
    <t>FLORESTAL BALA BRAZILIAN COFFEE PCT PLAST 500G</t>
  </si>
  <si>
    <t>ROQUE PINTO LICOR TAMARINDO GARRAFA VIDRO 900ML</t>
  </si>
  <si>
    <t>GORDONS GIN DRY GFA VD 750 ML</t>
  </si>
  <si>
    <t>QUINTA DO MORGADO VINHO TINTO SECO GFA VD 750 ML</t>
  </si>
  <si>
    <t>AGUA MINERAL MINALBA C/GAS GARRAFA VIDRO 300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</si>
</sst>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1E293B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:/LARISSA/TESTE%20FECHAMENTO%20ATT.xlsx" TargetMode="External"/><Relationship Id="rId2" Type="http://schemas.openxmlformats.org/officeDocument/2006/relationships/externalLinkPath" Target="file:///C:\A:\LARISSA\TESTE%20FECHAMENTO%20ATT.xlsx" TargetMode="External"/><Relationship Id="rId1" Type="http://schemas.openxmlformats.org/officeDocument/2006/relationships/externalLinkPath" Target="/A:/LARISSA/TESTE%20FECHAMENTO%20AT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:/LARISSA/ARQUIVOS%20SOLTOS/TESTE%20FECHAMENTO%20ATT.xlsx" TargetMode="External"/><Relationship Id="rId2" Type="http://schemas.openxmlformats.org/officeDocument/2006/relationships/externalLinkPath" Target="file:///C:\A:\LARISSA\ARQUIVOS%20SOLTOS\TESTE%20FECHAMENTO%20ATT.xlsx" TargetMode="External"/><Relationship Id="rId1" Type="http://schemas.openxmlformats.org/officeDocument/2006/relationships/externalLinkPath" Target="/A:/LARISSA/ARQUIVOS%20SOLTOS/TESTE%20FECHAMENTO%20A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CHAMENTO"/>
      <sheetName val="geo exemplo"/>
      <sheetName val="PRODUTOS E CESTAS"/>
      <sheetName val="01.11"/>
    </sheetNames>
    <sheetDataSet>
      <sheetData sheetId="0"/>
      <sheetData sheetId="1"/>
      <sheetData sheetId="2">
        <row r="1">
          <cell r="C1" t="str">
            <v>CÓD PROMAX</v>
          </cell>
          <cell r="D1" t="str">
            <v>DESCRIÇÃO</v>
          </cell>
          <cell r="E1" t="str">
            <v>DESCRIÇÃO 01.11</v>
          </cell>
          <cell r="F1" t="str">
            <v>CESTA</v>
          </cell>
          <cell r="G1" t="str">
            <v>CESTA2</v>
          </cell>
        </row>
        <row r="2">
          <cell r="C2">
            <v>7325</v>
          </cell>
          <cell r="D2" t="str">
            <v>PC PT1 CX12.</v>
          </cell>
          <cell r="E2" t="str">
            <v>PEPSI COLA PET 1L CAIXA C/12</v>
          </cell>
          <cell r="F2" t="str">
            <v>NAB</v>
          </cell>
          <cell r="G2" t="str">
            <v>MULTI</v>
          </cell>
        </row>
        <row r="3">
          <cell r="C3">
            <v>7945</v>
          </cell>
          <cell r="D3" t="str">
            <v>PC PET2,5CX6.</v>
          </cell>
          <cell r="E3" t="str">
            <v>PEPSI COLA PET 2,5L CAIXA C/6</v>
          </cell>
          <cell r="F3" t="str">
            <v>NAB</v>
          </cell>
          <cell r="G3" t="str">
            <v>MULTI</v>
          </cell>
        </row>
        <row r="4">
          <cell r="C4">
            <v>9096</v>
          </cell>
          <cell r="D4" t="str">
            <v>PC LT350SH12NP.</v>
          </cell>
          <cell r="E4" t="str">
            <v>PEPSI COLA LATA 350ML SH C/12 NPAL</v>
          </cell>
          <cell r="F4" t="str">
            <v>NAB</v>
          </cell>
          <cell r="G4" t="str">
            <v>SINGLE</v>
          </cell>
        </row>
        <row r="5">
          <cell r="C5">
            <v>18266</v>
          </cell>
          <cell r="D5" t="str">
            <v>PC PT200SH12.</v>
          </cell>
          <cell r="E5" t="str">
            <v>PEPSI COLA PET 200ML SH C/12</v>
          </cell>
          <cell r="F5" t="str">
            <v>NAB</v>
          </cell>
          <cell r="G5" t="str">
            <v>SINGLE</v>
          </cell>
        </row>
        <row r="6">
          <cell r="C6">
            <v>29845</v>
          </cell>
          <cell r="D6" t="str">
            <v>PEBL PT1LSHC12.</v>
          </cell>
          <cell r="E6" t="str">
            <v>PEPSI BLACK PET 1 L SH C/12</v>
          </cell>
          <cell r="F6" t="str">
            <v>NAB</v>
          </cell>
          <cell r="G6" t="str">
            <v>MULTI</v>
          </cell>
        </row>
        <row r="7">
          <cell r="C7">
            <v>347</v>
          </cell>
          <cell r="D7" t="str">
            <v>SU PT1 CX12.</v>
          </cell>
          <cell r="E7" t="str">
            <v>SUKITA PET 1L CAIXA C/12</v>
          </cell>
          <cell r="F7" t="str">
            <v>NAB</v>
          </cell>
          <cell r="G7" t="str">
            <v>MULTI</v>
          </cell>
        </row>
        <row r="8">
          <cell r="C8">
            <v>503</v>
          </cell>
          <cell r="D8" t="str">
            <v>SU PT2 CX6.</v>
          </cell>
          <cell r="E8" t="str">
            <v>SUKITA PET 2L CAIXA C/6</v>
          </cell>
          <cell r="F8" t="str">
            <v>NAB</v>
          </cell>
          <cell r="G8" t="str">
            <v>MULTI</v>
          </cell>
        </row>
        <row r="9">
          <cell r="C9">
            <v>9089</v>
          </cell>
          <cell r="D9" t="str">
            <v>SU LT350SH12NP.</v>
          </cell>
          <cell r="E9" t="str">
            <v>SUKITA LATA 350ML SH C/12 NPAL</v>
          </cell>
          <cell r="F9" t="str">
            <v>NAB</v>
          </cell>
          <cell r="G9" t="str">
            <v>SINGLE</v>
          </cell>
        </row>
        <row r="10">
          <cell r="C10">
            <v>2319</v>
          </cell>
          <cell r="D10" t="str">
            <v>GCA PT1 CX12.</v>
          </cell>
          <cell r="E10" t="str">
            <v>GUARANA CHP ANTARCTICA PET 1L CAIXA C/12</v>
          </cell>
          <cell r="F10" t="str">
            <v>NAB</v>
          </cell>
          <cell r="G10" t="str">
            <v>MULTI</v>
          </cell>
        </row>
        <row r="11">
          <cell r="C11">
            <v>7947</v>
          </cell>
          <cell r="D11" t="str">
            <v>GCA PET2,5CX6.</v>
          </cell>
          <cell r="E11" t="str">
            <v>GUARANA CHP ANTARCTICA PET 2,5L CAIXA C/6</v>
          </cell>
          <cell r="F11" t="str">
            <v>NAB</v>
          </cell>
          <cell r="G11" t="str">
            <v>MULTI</v>
          </cell>
        </row>
        <row r="12">
          <cell r="C12">
            <v>18152</v>
          </cell>
          <cell r="D12" t="str">
            <v>GCA PT200SH12.</v>
          </cell>
          <cell r="E12" t="str">
            <v>GUARANA CHP ANTARCTICA PET 200ML SH C/12</v>
          </cell>
          <cell r="F12" t="str">
            <v>NAB</v>
          </cell>
          <cell r="G12" t="str">
            <v>SINGLE</v>
          </cell>
        </row>
        <row r="13">
          <cell r="C13">
            <v>9087</v>
          </cell>
          <cell r="D13" t="str">
            <v>SLA LT350SH12NP.</v>
          </cell>
          <cell r="E13" t="str">
            <v>SODA LIMONADA ANTARCTICA LATA 350ML SH C/12 NPAL</v>
          </cell>
          <cell r="F13" t="str">
            <v>NAB</v>
          </cell>
          <cell r="G13" t="str">
            <v>SINGLE</v>
          </cell>
        </row>
        <row r="14">
          <cell r="C14">
            <v>9085</v>
          </cell>
          <cell r="D14" t="str">
            <v>GCAD LT350SH12NP.</v>
          </cell>
          <cell r="E14" t="str">
            <v>GUARANA CHP ANTARCTICA DIET LATA 350ML SH C/12 NPAL</v>
          </cell>
          <cell r="F14" t="str">
            <v>NAB</v>
          </cell>
          <cell r="G14" t="str">
            <v>SINGLE</v>
          </cell>
        </row>
        <row r="15">
          <cell r="C15">
            <v>8791</v>
          </cell>
          <cell r="D15" t="str">
            <v>H2OH PT500 CX12.</v>
          </cell>
          <cell r="E15" t="str">
            <v>H2OH LIMAO C/GAS PET 500ML CAIXA C/12</v>
          </cell>
          <cell r="F15" t="str">
            <v>NAB</v>
          </cell>
          <cell r="G15" t="str">
            <v>SINGLE</v>
          </cell>
        </row>
        <row r="16">
          <cell r="C16">
            <v>13061</v>
          </cell>
          <cell r="D16" t="str">
            <v>H2OH LNETO PT500SHC1.</v>
          </cell>
          <cell r="E16" t="str">
            <v>H2OH LIMONETO PET 500ML SHRINK C/12 NPAL</v>
          </cell>
          <cell r="F16" t="str">
            <v>NAB</v>
          </cell>
          <cell r="G16" t="str">
            <v>SINGLE</v>
          </cell>
        </row>
        <row r="17">
          <cell r="C17">
            <v>7977</v>
          </cell>
          <cell r="D17" t="str">
            <v>GT UVA PET500 6.</v>
          </cell>
          <cell r="E17" t="str">
            <v>GATORADE UVA PET 500ML SIXPACK</v>
          </cell>
          <cell r="F17" t="str">
            <v>NAB</v>
          </cell>
          <cell r="G17" t="str">
            <v>SINGLE</v>
          </cell>
        </row>
        <row r="18">
          <cell r="C18">
            <v>7981</v>
          </cell>
          <cell r="D18" t="str">
            <v>GT LAR PET500 6.</v>
          </cell>
          <cell r="E18" t="str">
            <v>GATORADE LARANJA PET 500ML SIXPACK</v>
          </cell>
          <cell r="F18" t="str">
            <v>NAB</v>
          </cell>
          <cell r="G18" t="str">
            <v>SINGLE</v>
          </cell>
        </row>
        <row r="19">
          <cell r="C19">
            <v>7982</v>
          </cell>
          <cell r="D19" t="str">
            <v>GT LM PET500 6.</v>
          </cell>
          <cell r="E19" t="str">
            <v>GATORADE LIMAO PET 500ML SIXPACK</v>
          </cell>
          <cell r="F19" t="str">
            <v>NAB</v>
          </cell>
          <cell r="G19" t="str">
            <v>SINGLE</v>
          </cell>
        </row>
        <row r="20">
          <cell r="C20">
            <v>7983</v>
          </cell>
          <cell r="D20" t="str">
            <v>GT MO-MA PET500 6.</v>
          </cell>
          <cell r="E20" t="str">
            <v>GATORADE MORANGO-MARACUJA PET 500ML SIXPACK</v>
          </cell>
          <cell r="F20" t="str">
            <v>NAB</v>
          </cell>
          <cell r="G20" t="str">
            <v>SINGLE</v>
          </cell>
        </row>
        <row r="21">
          <cell r="C21">
            <v>19229</v>
          </cell>
          <cell r="D21" t="str">
            <v>RB BR LT250SPNP ..</v>
          </cell>
          <cell r="E21" t="str">
            <v>RED BULL BR LATA 250ML SIX PACK NPAL .</v>
          </cell>
          <cell r="F21" t="str">
            <v>NAB</v>
          </cell>
          <cell r="G21" t="str">
            <v>SINGLE</v>
          </cell>
        </row>
        <row r="22">
          <cell r="C22">
            <v>30045</v>
          </cell>
          <cell r="D22" t="str">
            <v>RB BR LT473ML CXC12.</v>
          </cell>
          <cell r="E22" t="str">
            <v>RED BULL BR LATA 473ML CX C 12</v>
          </cell>
          <cell r="F22" t="str">
            <v>NAB</v>
          </cell>
          <cell r="G22" t="str">
            <v>SINGLE</v>
          </cell>
        </row>
        <row r="23">
          <cell r="C23">
            <v>9069</v>
          </cell>
          <cell r="D23" t="str">
            <v>BC LT350SH12NP.</v>
          </cell>
          <cell r="E23" t="str">
            <v>BRAHMA CHOPP LATA 350ML SH C/12 NPAL</v>
          </cell>
          <cell r="F23" t="str">
            <v>CERVEJA</v>
          </cell>
          <cell r="G23" t="str">
            <v>OW</v>
          </cell>
        </row>
        <row r="24">
          <cell r="C24">
            <v>33820</v>
          </cell>
          <cell r="D24" t="str">
            <v>BC LT350SH12NP MULTP.</v>
          </cell>
          <cell r="E24" t="str">
            <v>BRAHMA CHOPP LATA 350ML SH C/12 NPAL MULTIPACK .</v>
          </cell>
          <cell r="F24" t="str">
            <v>CERVEJA</v>
          </cell>
          <cell r="G24" t="str">
            <v>OW</v>
          </cell>
        </row>
        <row r="25">
          <cell r="C25">
            <v>1898</v>
          </cell>
          <cell r="D25" t="str">
            <v>BC L269SH15NP.</v>
          </cell>
          <cell r="E25" t="str">
            <v>BRAHMA CHOPP LT 269ML SH C15 NPAL</v>
          </cell>
          <cell r="F25" t="str">
            <v>CERVEJA</v>
          </cell>
          <cell r="G25" t="str">
            <v>OW</v>
          </cell>
        </row>
        <row r="26">
          <cell r="C26">
            <v>988</v>
          </cell>
          <cell r="D26" t="str">
            <v>BC 600.</v>
          </cell>
          <cell r="E26" t="str">
            <v>BRAHMA CHOPP 600ML</v>
          </cell>
          <cell r="F26" t="str">
            <v>CERVEJA</v>
          </cell>
          <cell r="G26" t="str">
            <v>RGB</v>
          </cell>
        </row>
        <row r="27">
          <cell r="C27">
            <v>1695</v>
          </cell>
          <cell r="D27" t="str">
            <v>BC GFAVD1L COM TTC.</v>
          </cell>
          <cell r="E27" t="str">
            <v>BRAHMA CHOPP GFA VD 1L COM TTC</v>
          </cell>
          <cell r="F27" t="str">
            <v>CERVEJA</v>
          </cell>
          <cell r="G27" t="str">
            <v>RGB</v>
          </cell>
        </row>
        <row r="28">
          <cell r="C28">
            <v>13201</v>
          </cell>
          <cell r="D28" t="str">
            <v>BC GFVD300C23.</v>
          </cell>
          <cell r="E28" t="str">
            <v>BRAHMA CHOPP GFA VD 300ML CX C/23</v>
          </cell>
          <cell r="F28" t="str">
            <v>CERVEJA</v>
          </cell>
          <cell r="G28" t="str">
            <v>RGB</v>
          </cell>
        </row>
        <row r="29">
          <cell r="C29">
            <v>12948</v>
          </cell>
          <cell r="D29" t="str">
            <v>BCZ LT350SH12NP.</v>
          </cell>
          <cell r="E29" t="str">
            <v>BRAHMA CHOPP ZERO LATA 350ML SH C/12 NPAL</v>
          </cell>
          <cell r="F29" t="str">
            <v>CERVEJA</v>
          </cell>
          <cell r="G29" t="str">
            <v>OW</v>
          </cell>
        </row>
        <row r="30">
          <cell r="C30">
            <v>12951</v>
          </cell>
          <cell r="D30" t="str">
            <v>BCZ LN355SPCTC4.</v>
          </cell>
          <cell r="E30" t="str">
            <v>BRAHMA CHOPP ZERO LN 355ML SIXPACK CX CART C/04</v>
          </cell>
          <cell r="F30" t="str">
            <v>CERVEJA</v>
          </cell>
          <cell r="G30" t="str">
            <v>OW</v>
          </cell>
        </row>
        <row r="31">
          <cell r="C31">
            <v>20498</v>
          </cell>
          <cell r="D31" t="str">
            <v>BRDM LTSL350SH12.</v>
          </cell>
          <cell r="E31" t="str">
            <v>BRAHMA DUPLO MALTE LT SLEEK 350ML SH C 12</v>
          </cell>
          <cell r="F31" t="str">
            <v>CERVEJA</v>
          </cell>
          <cell r="G31" t="str">
            <v>OW</v>
          </cell>
        </row>
        <row r="32">
          <cell r="C32">
            <v>1745</v>
          </cell>
          <cell r="D32" t="str">
            <v>SK L269SH15NP.</v>
          </cell>
          <cell r="E32" t="str">
            <v>SKOL LT 269ML SH C15 NPAL</v>
          </cell>
          <cell r="F32" t="str">
            <v>CERVEJA</v>
          </cell>
          <cell r="G32" t="str">
            <v>OW</v>
          </cell>
        </row>
        <row r="33">
          <cell r="C33">
            <v>9068</v>
          </cell>
          <cell r="D33" t="str">
            <v>SK LT350SH12NP.</v>
          </cell>
          <cell r="E33" t="str">
            <v>SKOL LATA 350ML SH C/12 NPAL</v>
          </cell>
          <cell r="F33" t="str">
            <v>CERVEJA</v>
          </cell>
          <cell r="G33" t="str">
            <v>OW</v>
          </cell>
        </row>
        <row r="34">
          <cell r="C34">
            <v>34608</v>
          </cell>
          <cell r="D34" t="str">
            <v>SK LT350SH12NP MPK.</v>
          </cell>
          <cell r="E34" t="str">
            <v>SKOL LATA 350ML SH C/12 NPAL MULTIPACK</v>
          </cell>
          <cell r="F34" t="str">
            <v>CERVEJA</v>
          </cell>
          <cell r="G34" t="str">
            <v>OW</v>
          </cell>
        </row>
        <row r="35">
          <cell r="C35">
            <v>982</v>
          </cell>
          <cell r="D35" t="str">
            <v>SK 600.</v>
          </cell>
          <cell r="E35" t="str">
            <v>SKOL 600ML</v>
          </cell>
          <cell r="F35" t="str">
            <v>CERVEJA</v>
          </cell>
          <cell r="G35" t="str">
            <v>RGB</v>
          </cell>
        </row>
        <row r="36">
          <cell r="C36">
            <v>1388</v>
          </cell>
          <cell r="D36" t="str">
            <v>SK GFAVD1L 2,99.</v>
          </cell>
          <cell r="E36" t="str">
            <v>SKOL GFA VD 1L 2,99</v>
          </cell>
          <cell r="F36" t="str">
            <v>CERVEJA</v>
          </cell>
          <cell r="G36" t="str">
            <v>RGB</v>
          </cell>
        </row>
        <row r="37">
          <cell r="C37">
            <v>13205</v>
          </cell>
          <cell r="D37" t="str">
            <v>SK GFVD300C23.</v>
          </cell>
          <cell r="E37" t="str">
            <v>SKOL GFA VD 300ML CX C/23</v>
          </cell>
          <cell r="F37" t="str">
            <v>CERVEJA</v>
          </cell>
          <cell r="G37" t="str">
            <v>RGB</v>
          </cell>
        </row>
        <row r="38">
          <cell r="C38">
            <v>18807</v>
          </cell>
          <cell r="D38" t="str">
            <v>S ARTOIS LN330 SP SH.</v>
          </cell>
          <cell r="E38" t="str">
            <v>STELLA ARTOIS LONG NECK 330ML SIX-PACK SHRINK C/4</v>
          </cell>
          <cell r="F38" t="str">
            <v>CERVEJA</v>
          </cell>
          <cell r="G38" t="str">
            <v>OW</v>
          </cell>
        </row>
        <row r="39">
          <cell r="C39">
            <v>19729</v>
          </cell>
          <cell r="D39" t="str">
            <v>S ARTOIS LTSL350C8CA.</v>
          </cell>
          <cell r="E39" t="str">
            <v>STELLA ARTOIS LT SLEEK 350ML C 8 CX CARTAO</v>
          </cell>
          <cell r="F39" t="str">
            <v>CERVEJA</v>
          </cell>
          <cell r="G39" t="str">
            <v>OW</v>
          </cell>
        </row>
        <row r="40">
          <cell r="C40">
            <v>20530</v>
          </cell>
          <cell r="D40" t="str">
            <v>S ARTOIS 600 ML.</v>
          </cell>
          <cell r="E40" t="str">
            <v>STELLA ARTOIS 600 ML</v>
          </cell>
          <cell r="F40" t="str">
            <v>CERVEJA</v>
          </cell>
          <cell r="G40" t="str">
            <v>RGB</v>
          </cell>
        </row>
        <row r="41">
          <cell r="C41">
            <v>29580</v>
          </cell>
          <cell r="D41" t="str">
            <v>STARTPG LN330 SP SHC.</v>
          </cell>
          <cell r="E41" t="str">
            <v>STELLA ARTOIS PURE GOLD LONG NECK 330ML SP SH C/4</v>
          </cell>
          <cell r="F41" t="str">
            <v>CERVEJA</v>
          </cell>
          <cell r="G41" t="str">
            <v>OW</v>
          </cell>
        </row>
        <row r="42">
          <cell r="C42">
            <v>2546</v>
          </cell>
          <cell r="D42" t="str">
            <v>ORIGINAL 600.</v>
          </cell>
          <cell r="E42" t="str">
            <v>ORIGINAL 600ML</v>
          </cell>
          <cell r="F42" t="str">
            <v>CERVEJA</v>
          </cell>
          <cell r="G42" t="str">
            <v>RGB</v>
          </cell>
        </row>
        <row r="43">
          <cell r="C43">
            <v>19668</v>
          </cell>
          <cell r="D43" t="str">
            <v>ORIGINAL LT350SH12NP.</v>
          </cell>
          <cell r="E43" t="str">
            <v>ORIGINAL LATA 350ML SH C/12 NPAL</v>
          </cell>
          <cell r="F43" t="str">
            <v>CERVEJA</v>
          </cell>
          <cell r="G43" t="str">
            <v>OW</v>
          </cell>
        </row>
        <row r="44">
          <cell r="C44">
            <v>9067</v>
          </cell>
          <cell r="D44" t="str">
            <v>AP LT350SH12NP.</v>
          </cell>
          <cell r="E44" t="str">
            <v>ANTARCTICA PILSEN LATA 350ML SH C/12 NPAL</v>
          </cell>
          <cell r="F44" t="str">
            <v>CERVEJA</v>
          </cell>
          <cell r="G44" t="str">
            <v>OW</v>
          </cell>
        </row>
        <row r="45">
          <cell r="C45">
            <v>1743</v>
          </cell>
          <cell r="D45" t="str">
            <v>AP GFAVD1L COM TTC.</v>
          </cell>
          <cell r="E45" t="str">
            <v>ANTARCTICA PILSEN GFA VD 1L COM TTC</v>
          </cell>
          <cell r="F45" t="str">
            <v>CERVEJA</v>
          </cell>
          <cell r="G45" t="str">
            <v>RGB</v>
          </cell>
        </row>
        <row r="46">
          <cell r="C46">
            <v>2538</v>
          </cell>
          <cell r="D46" t="str">
            <v>AP 600.</v>
          </cell>
          <cell r="E46" t="str">
            <v>ANTARCTICA PILSEN 600ML</v>
          </cell>
          <cell r="F46" t="str">
            <v>CERVEJA</v>
          </cell>
          <cell r="G46" t="str">
            <v>RGB</v>
          </cell>
        </row>
        <row r="47">
          <cell r="C47">
            <v>2008</v>
          </cell>
          <cell r="D47" t="str">
            <v>ASUBZERO LT350SH12NP.</v>
          </cell>
          <cell r="E47" t="str">
            <v>ANTARCTICA SUBZERO LATA 350ML SH C/12 NPAL</v>
          </cell>
          <cell r="F47" t="str">
            <v>CERVEJA</v>
          </cell>
          <cell r="G47" t="str">
            <v>OW</v>
          </cell>
        </row>
        <row r="48">
          <cell r="C48">
            <v>2006</v>
          </cell>
          <cell r="D48" t="str">
            <v>ASUBZERO 600.</v>
          </cell>
          <cell r="E48" t="str">
            <v>ANTARCTICA SUBZERO 600ML</v>
          </cell>
          <cell r="F48" t="str">
            <v>CERVEJA</v>
          </cell>
          <cell r="G48" t="str">
            <v>RGB</v>
          </cell>
        </row>
        <row r="49">
          <cell r="C49">
            <v>9072</v>
          </cell>
          <cell r="D49" t="str">
            <v>BONOV LT350SH12NP.</v>
          </cell>
          <cell r="E49" t="str">
            <v>BOHEMIA NOVA EMBALAGEM LATA 350ML SH C/12 NPAL</v>
          </cell>
          <cell r="F49" t="str">
            <v>CERVEJA</v>
          </cell>
          <cell r="G49" t="str">
            <v>OW</v>
          </cell>
        </row>
        <row r="50">
          <cell r="C50">
            <v>2548</v>
          </cell>
          <cell r="D50" t="str">
            <v>BUD 600.</v>
          </cell>
          <cell r="E50" t="str">
            <v>BUDWEISER 600ML</v>
          </cell>
          <cell r="F50" t="str">
            <v>CERVEJA</v>
          </cell>
          <cell r="G50" t="str">
            <v>RGB</v>
          </cell>
        </row>
        <row r="51">
          <cell r="C51">
            <v>17808</v>
          </cell>
          <cell r="D51" t="str">
            <v>BUD OW330 C 24.</v>
          </cell>
          <cell r="E51" t="str">
            <v>BUDWEISER OW 330ML CX C/24</v>
          </cell>
          <cell r="F51" t="str">
            <v>CERVEJA</v>
          </cell>
          <cell r="G51" t="str">
            <v>OW</v>
          </cell>
        </row>
        <row r="52">
          <cell r="C52">
            <v>21020</v>
          </cell>
          <cell r="D52" t="str">
            <v>BUD LTSL350CXC12.</v>
          </cell>
          <cell r="E52" t="str">
            <v>BUDWEISER LT SLEEK 350ML CX CART C 12</v>
          </cell>
          <cell r="F52" t="str">
            <v>CERVEJA</v>
          </cell>
          <cell r="G52" t="str">
            <v>OW</v>
          </cell>
        </row>
        <row r="53">
          <cell r="C53">
            <v>18836</v>
          </cell>
          <cell r="D53" t="str">
            <v>COREXTN LN330CX24NP.</v>
          </cell>
          <cell r="E53" t="str">
            <v>CORONA EXTRA N LONG NECK 330ML CX C/24 NPAL</v>
          </cell>
          <cell r="F53" t="str">
            <v>CERVEJA</v>
          </cell>
          <cell r="G53" t="str">
            <v>OW</v>
          </cell>
        </row>
        <row r="54">
          <cell r="C54">
            <v>27866</v>
          </cell>
          <cell r="D54" t="str">
            <v>CORCES LN330MLSPBCXC.</v>
          </cell>
          <cell r="E54" t="str">
            <v>CORONA CERO SUNBREW N LONG NECK 330 ML SP BASKET CX C4</v>
          </cell>
          <cell r="F54" t="str">
            <v>CERVEJA</v>
          </cell>
          <cell r="G54" t="str">
            <v>OW</v>
          </cell>
        </row>
        <row r="55">
          <cell r="C55">
            <v>21632</v>
          </cell>
          <cell r="D55" t="str">
            <v>SPTN LN355SPSH4.</v>
          </cell>
          <cell r="E55" t="str">
            <v>SPATEN N LN 355ML SIXPACK SH C/4</v>
          </cell>
          <cell r="F55" t="str">
            <v>CERVEJA</v>
          </cell>
          <cell r="G55" t="str">
            <v>OW</v>
          </cell>
        </row>
        <row r="56">
          <cell r="C56">
            <v>23186</v>
          </cell>
          <cell r="D56" t="str">
            <v>SPTN 600.</v>
          </cell>
          <cell r="E56" t="str">
            <v>SPATEN N 600ML</v>
          </cell>
          <cell r="F56" t="str">
            <v>CERVEJA</v>
          </cell>
          <cell r="G56" t="str">
            <v>RGB</v>
          </cell>
        </row>
        <row r="57">
          <cell r="C57">
            <v>35617</v>
          </cell>
          <cell r="D57" t="str">
            <v>BTGREENMIX LT269MLSH.</v>
          </cell>
          <cell r="E57" t="str">
            <v>BEATS GREEN MIX LT 269ML SH C/8</v>
          </cell>
          <cell r="F57" t="str">
            <v>CERVEJA</v>
          </cell>
          <cell r="G57" t="str">
            <v>OW</v>
          </cell>
        </row>
        <row r="58">
          <cell r="C58">
            <v>504</v>
          </cell>
          <cell r="D58" t="str">
            <v>PC PT2 CX6.</v>
          </cell>
          <cell r="E58" t="str">
            <v>PEPSI COLA PET 2L CAIXA C/6</v>
          </cell>
          <cell r="F58" t="str">
            <v>NAB</v>
          </cell>
          <cell r="G58" t="str">
            <v>MULTI</v>
          </cell>
        </row>
        <row r="59">
          <cell r="C59">
            <v>18268</v>
          </cell>
          <cell r="D59" t="str">
            <v>SU PT200SH12.</v>
          </cell>
          <cell r="E59" t="str">
            <v>SUKITA PET 200ML SH C/12</v>
          </cell>
          <cell r="F59" t="str">
            <v>NAB</v>
          </cell>
          <cell r="G59" t="str">
            <v>SINGLE</v>
          </cell>
        </row>
        <row r="60">
          <cell r="C60">
            <v>1166</v>
          </cell>
          <cell r="D60" t="str">
            <v>SUKITA UVA PT2 CX6.</v>
          </cell>
          <cell r="E60" t="str">
            <v>SUKITA UVA PET 2L CAIXA C/6</v>
          </cell>
          <cell r="F60" t="str">
            <v>NAB</v>
          </cell>
          <cell r="G60" t="str">
            <v>MULTI</v>
          </cell>
        </row>
        <row r="61">
          <cell r="C61">
            <v>9084</v>
          </cell>
          <cell r="D61" t="str">
            <v>GCA LT350SH12NP.</v>
          </cell>
          <cell r="E61" t="str">
            <v>GUARANA CHP ANTARCTICA LATA 350ML SH C/12 NPAL</v>
          </cell>
          <cell r="F61" t="str">
            <v>NAB</v>
          </cell>
          <cell r="G61" t="str">
            <v>SINGLE</v>
          </cell>
        </row>
        <row r="62">
          <cell r="C62">
            <v>2349</v>
          </cell>
          <cell r="D62" t="str">
            <v>GCA PT2 CX6.</v>
          </cell>
          <cell r="E62" t="str">
            <v>GUARANA CHP ANTARCTICA PET 2L CAIXA C/6</v>
          </cell>
          <cell r="F62" t="str">
            <v>NAB</v>
          </cell>
          <cell r="G62" t="str">
            <v>MULTI</v>
          </cell>
        </row>
        <row r="63">
          <cell r="C63">
            <v>9795</v>
          </cell>
          <cell r="D63" t="str">
            <v>GAZR PT1 CX12.</v>
          </cell>
          <cell r="E63" t="str">
            <v>GUARANA ANTARCTICA ZERO PET 1L CAIXA C/12</v>
          </cell>
          <cell r="F63" t="str">
            <v>NAB</v>
          </cell>
          <cell r="G63" t="str">
            <v>MULTI</v>
          </cell>
        </row>
        <row r="64">
          <cell r="C64">
            <v>18267</v>
          </cell>
          <cell r="D64" t="str">
            <v>SLA PT200SH12.</v>
          </cell>
          <cell r="E64" t="str">
            <v>SODA LIMONADA ANTARCTICA PET 200ML SH C/12</v>
          </cell>
          <cell r="F64" t="str">
            <v>NAB</v>
          </cell>
          <cell r="G64" t="str">
            <v>SINGLE</v>
          </cell>
        </row>
        <row r="65">
          <cell r="C65">
            <v>2353</v>
          </cell>
          <cell r="D65" t="str">
            <v>GCAD PT2 CX6.</v>
          </cell>
          <cell r="E65" t="str">
            <v>GUARANA CHP ANTARCTICA DIET PET 2L CAIXA C/6</v>
          </cell>
          <cell r="F65" t="str">
            <v>NAB</v>
          </cell>
          <cell r="G65" t="str">
            <v>MULTI</v>
          </cell>
        </row>
        <row r="66">
          <cell r="C66">
            <v>19231</v>
          </cell>
          <cell r="D66" t="str">
            <v>RB SF BR LT250FPNP ..</v>
          </cell>
          <cell r="E66" t="str">
            <v>RED BULL SUGAR FREE BR LATA 250ML FOUR PACK NPAL .</v>
          </cell>
          <cell r="F66" t="str">
            <v>NAB</v>
          </cell>
          <cell r="G66" t="str">
            <v>SINGLE</v>
          </cell>
        </row>
        <row r="67">
          <cell r="C67">
            <v>21666</v>
          </cell>
          <cell r="D67" t="str">
            <v>RBT BR LT250FPNP ..</v>
          </cell>
          <cell r="E67" t="str">
            <v>RED BULL TROPICAL BR LATA 250ML FOUR PACK NPAL .</v>
          </cell>
          <cell r="F67" t="str">
            <v>NAB</v>
          </cell>
          <cell r="G67" t="str">
            <v>SINGLE</v>
          </cell>
        </row>
        <row r="68">
          <cell r="C68">
            <v>34420</v>
          </cell>
          <cell r="D68" t="str">
            <v>RBSMARMEL LT250FPNP.</v>
          </cell>
          <cell r="E68" t="str">
            <v>RED BULL SUMMER MARACUJA E MELAO LATA 250ML FOUR PACK NPAL</v>
          </cell>
          <cell r="F68" t="str">
            <v>NAB</v>
          </cell>
          <cell r="G68" t="str">
            <v>SINGLE</v>
          </cell>
        </row>
        <row r="69">
          <cell r="C69">
            <v>34770</v>
          </cell>
          <cell r="D69" t="str">
            <v>RBSFPOM LT250FPNP.</v>
          </cell>
          <cell r="E69" t="str">
            <v>RED BULL SUGAR FREE POMELO LATA 250ML FOUR PACK NPAL</v>
          </cell>
          <cell r="F69" t="str">
            <v>NAB</v>
          </cell>
          <cell r="G69" t="str">
            <v>SINGLE</v>
          </cell>
        </row>
        <row r="70">
          <cell r="C70">
            <v>20535</v>
          </cell>
          <cell r="D70" t="str">
            <v>S ARTOIS OW600CXC12N.</v>
          </cell>
          <cell r="E70" t="str">
            <v>STELLA ARTOIS ONE WAY 600ML CX C/12 NPAL</v>
          </cell>
          <cell r="F70" t="str">
            <v>CERVEJA</v>
          </cell>
          <cell r="G70" t="str">
            <v>RGB</v>
          </cell>
        </row>
        <row r="71">
          <cell r="C71">
            <v>20217</v>
          </cell>
          <cell r="D71" t="str">
            <v>ORIGINAL GFVD300C23.</v>
          </cell>
          <cell r="E71" t="str">
            <v>ORIGINAL GFA VD 300ML CX C/23</v>
          </cell>
          <cell r="F71" t="str">
            <v>CERVEJA</v>
          </cell>
          <cell r="G71" t="str">
            <v>RGB</v>
          </cell>
        </row>
        <row r="72">
          <cell r="C72">
            <v>35331</v>
          </cell>
          <cell r="D72" t="str">
            <v>BUD GFAVD1L.</v>
          </cell>
          <cell r="E72" t="str">
            <v>BUDWEISER GFA VD 1L</v>
          </cell>
          <cell r="F72" t="str">
            <v>CERVEJA</v>
          </cell>
          <cell r="G72" t="str">
            <v>RGB</v>
          </cell>
        </row>
        <row r="73">
          <cell r="C73">
            <v>20651</v>
          </cell>
          <cell r="D73" t="str">
            <v>COREXTN LTSL350C8CAR.</v>
          </cell>
          <cell r="E73" t="str">
            <v>CORONA EXTRA N LT SLEEK 350ML C 8 CX CARTAO</v>
          </cell>
          <cell r="F73" t="str">
            <v>CERVEJA</v>
          </cell>
          <cell r="G73" t="str">
            <v>OW</v>
          </cell>
        </row>
        <row r="74">
          <cell r="C74">
            <v>29197</v>
          </cell>
          <cell r="D74" t="str">
            <v>TGREPL PCT18GDPC/18.</v>
          </cell>
          <cell r="E74" t="str">
            <v>TANG REFRESCO EM PO LIMAO PCT 18G DP C/18</v>
          </cell>
          <cell r="F74" t="str">
            <v>OUTROS</v>
          </cell>
          <cell r="G74" t="str">
            <v>-</v>
          </cell>
        </row>
        <row r="75">
          <cell r="C75">
            <v>29199</v>
          </cell>
          <cell r="D75" t="str">
            <v>TREPL PCT18GDPC/18.</v>
          </cell>
          <cell r="E75" t="str">
            <v>TANG REFRESCO EM PO LARANJA PCT 18G DP C/18</v>
          </cell>
          <cell r="F75" t="str">
            <v>OUTROS</v>
          </cell>
          <cell r="G75" t="str">
            <v>-</v>
          </cell>
        </row>
        <row r="76">
          <cell r="C76">
            <v>29201</v>
          </cell>
          <cell r="D76" t="str">
            <v>TREPA PCT18GDPC/18.</v>
          </cell>
          <cell r="E76" t="str">
            <v>TANG REFRESCO EM PO ABACAXI PCT 18G DP C/18</v>
          </cell>
          <cell r="F76" t="str">
            <v>OUTROS</v>
          </cell>
          <cell r="G76" t="str">
            <v>-</v>
          </cell>
        </row>
        <row r="77">
          <cell r="C77">
            <v>29215</v>
          </cell>
          <cell r="D77" t="str">
            <v>TREPU PCT18GDPC/18.</v>
          </cell>
          <cell r="E77" t="str">
            <v>TANG REFRESCO EM PO UVA PCT 18G DP C/18</v>
          </cell>
          <cell r="F77" t="str">
            <v>OUTROS</v>
          </cell>
          <cell r="G77" t="str">
            <v>-</v>
          </cell>
        </row>
        <row r="78">
          <cell r="C78">
            <v>21974</v>
          </cell>
          <cell r="D78" t="str">
            <v>TRIDTUTFRUT ENV8GCXC.</v>
          </cell>
          <cell r="E78" t="str">
            <v>TRIDENT TUTTI-FRUTTI ENVELOPE 8G CX C/21</v>
          </cell>
          <cell r="F78" t="str">
            <v>OUTROS</v>
          </cell>
          <cell r="G78" t="str">
            <v>-</v>
          </cell>
        </row>
        <row r="79">
          <cell r="C79">
            <v>21973</v>
          </cell>
          <cell r="D79" t="str">
            <v>TRIDMELAN ENV8GCXC21.</v>
          </cell>
          <cell r="E79" t="str">
            <v>TRIDENT MELANCIA ENVELOPE 8G CX C/21</v>
          </cell>
          <cell r="F79" t="str">
            <v>OUTROS</v>
          </cell>
          <cell r="G79" t="str">
            <v>-</v>
          </cell>
        </row>
        <row r="80">
          <cell r="C80">
            <v>21968</v>
          </cell>
          <cell r="D80" t="str">
            <v>TRIDENTH ENV8GCXC21.</v>
          </cell>
          <cell r="E80" t="str">
            <v>TRIDENT HORTELA ENVELOPE 8G CX C/21</v>
          </cell>
          <cell r="F80" t="str">
            <v>OUTROS</v>
          </cell>
          <cell r="G80" t="str">
            <v>-</v>
          </cell>
        </row>
        <row r="81">
          <cell r="C81">
            <v>34296</v>
          </cell>
          <cell r="D81" t="str">
            <v>TRIDCAN ENV8GCXC21.</v>
          </cell>
          <cell r="E81" t="str">
            <v>TRIDENT CANELA ENVELOPE 8G CX C/21</v>
          </cell>
          <cell r="F81" t="str">
            <v>OUTROS</v>
          </cell>
          <cell r="G81" t="str">
            <v>-</v>
          </cell>
        </row>
        <row r="82">
          <cell r="C82">
            <v>26099</v>
          </cell>
          <cell r="D82" t="str">
            <v>TRIDXFI ENVLP8GCX21.</v>
          </cell>
          <cell r="E82" t="str">
            <v>TRIDENT XFRESH INTENSE ENVELOPE 8G CX21_</v>
          </cell>
          <cell r="F82" t="str">
            <v>OUTROS</v>
          </cell>
          <cell r="G82" t="str">
            <v>-</v>
          </cell>
        </row>
        <row r="83">
          <cell r="C83">
            <v>27177</v>
          </cell>
          <cell r="D83" t="str">
            <v>HALMENT ENV28GCXC21.</v>
          </cell>
          <cell r="E83" t="str">
            <v>HALLS MENTOL ENVELOPE 28G CX C/21</v>
          </cell>
          <cell r="F83" t="str">
            <v>OUTROS</v>
          </cell>
          <cell r="G83" t="str">
            <v>-</v>
          </cell>
        </row>
        <row r="84">
          <cell r="C84">
            <v>22007</v>
          </cell>
          <cell r="D84" t="str">
            <v>HALLSEF ENV28GCXC21.</v>
          </cell>
          <cell r="E84" t="str">
            <v>HALLS EXTRA FORTE ENVELOPE 28G CX C/21</v>
          </cell>
          <cell r="F84" t="str">
            <v>OUTROS</v>
          </cell>
          <cell r="G84" t="str">
            <v>-</v>
          </cell>
        </row>
        <row r="85">
          <cell r="C85">
            <v>29733</v>
          </cell>
          <cell r="D85" t="str">
            <v>HALMEL ENV28GCXC21.</v>
          </cell>
          <cell r="E85" t="str">
            <v>HALLS MELANCIA ENVELOPE 28G CX C/21</v>
          </cell>
          <cell r="F85" t="str">
            <v>OUTROS</v>
          </cell>
          <cell r="G85" t="str">
            <v>-</v>
          </cell>
        </row>
        <row r="86">
          <cell r="C86">
            <v>34410</v>
          </cell>
          <cell r="D86" t="str">
            <v>HALUVVE ENV28GCXC21.</v>
          </cell>
          <cell r="E86" t="str">
            <v>HALLS UVA VERDE ENVELOPE 28G CX C/21</v>
          </cell>
          <cell r="F86" t="str">
            <v>OUTROS</v>
          </cell>
          <cell r="G86" t="str">
            <v>-</v>
          </cell>
        </row>
        <row r="87">
          <cell r="C87">
            <v>24409</v>
          </cell>
          <cell r="D87" t="str">
            <v>QMVTS GFAVD750ML.</v>
          </cell>
          <cell r="E87" t="str">
            <v>QUINTA DO MORGADO VINHO TINTO SUAVE GFA VD 750 ML</v>
          </cell>
          <cell r="F87" t="str">
            <v>DESTILADO</v>
          </cell>
          <cell r="G87" t="str">
            <v>OW</v>
          </cell>
        </row>
        <row r="88">
          <cell r="C88">
            <v>9274</v>
          </cell>
          <cell r="D88" t="str">
            <v>PEPZERO LT350SH12NP.</v>
          </cell>
          <cell r="E88" t="str">
            <v>PEPSI ZERO LATA 350ML SH C/12 NPAL</v>
          </cell>
          <cell r="F88" t="str">
            <v>NAB</v>
          </cell>
          <cell r="G88" t="str">
            <v>SINGLE</v>
          </cell>
        </row>
        <row r="89">
          <cell r="C89">
            <v>4293</v>
          </cell>
          <cell r="D89" t="str">
            <v>PEBL PT200SH12.</v>
          </cell>
          <cell r="E89" t="str">
            <v>PEPSI BLACK PET 200ML SH C/12</v>
          </cell>
          <cell r="F89" t="str">
            <v>NAB</v>
          </cell>
          <cell r="G89" t="str">
            <v>SINGLE</v>
          </cell>
        </row>
        <row r="90">
          <cell r="C90">
            <v>2320</v>
          </cell>
          <cell r="D90" t="str">
            <v>SLA PT1 CX12.</v>
          </cell>
          <cell r="E90" t="str">
            <v>SODA LIMONADA ANTARCTICA PET 1L CAIXA C/12</v>
          </cell>
          <cell r="F90" t="str">
            <v>NAB</v>
          </cell>
          <cell r="G90" t="str">
            <v>MULTI</v>
          </cell>
        </row>
        <row r="91">
          <cell r="C91">
            <v>9091</v>
          </cell>
          <cell r="D91" t="str">
            <v>TA LT350SH12NP.</v>
          </cell>
          <cell r="E91" t="str">
            <v>TONICA ANTARCTICA LATA 350ML SH C/12 NPAL</v>
          </cell>
          <cell r="F91" t="str">
            <v>NAB</v>
          </cell>
          <cell r="G91" t="str">
            <v>SINGLE</v>
          </cell>
        </row>
        <row r="92">
          <cell r="C92">
            <v>838</v>
          </cell>
          <cell r="D92" t="str">
            <v>CHP BR CL KEG50.</v>
          </cell>
          <cell r="E92" t="str">
            <v>CHOPP BRAHMA CLARO BARRIL KEG 50L</v>
          </cell>
          <cell r="F92" t="str">
            <v>CERVEJA</v>
          </cell>
          <cell r="G92" t="str">
            <v>RGB</v>
          </cell>
        </row>
        <row r="93">
          <cell r="C93">
            <v>33818</v>
          </cell>
          <cell r="D93" t="str">
            <v>ORIGINAL LT350 SRHK1.</v>
          </cell>
          <cell r="E93" t="str">
            <v>ORIGINAL LATA 350ML SHRINK C/12 MULTPACK</v>
          </cell>
          <cell r="F93" t="str">
            <v>CERVEJA</v>
          </cell>
          <cell r="G93" t="str">
            <v>OW</v>
          </cell>
        </row>
        <row r="94">
          <cell r="C94">
            <v>31064</v>
          </cell>
          <cell r="D94" t="str">
            <v>BUD LT269MLSHC15.</v>
          </cell>
          <cell r="E94" t="str">
            <v>BUDWEISER LT 269ML SH C 15</v>
          </cell>
          <cell r="F94" t="str">
            <v>CERVEJA</v>
          </cell>
          <cell r="G94" t="str">
            <v>OW</v>
          </cell>
        </row>
        <row r="95">
          <cell r="C95">
            <v>22180</v>
          </cell>
          <cell r="D95" t="str">
            <v>BUDZR LN330 SP SHRK4.</v>
          </cell>
          <cell r="E95" t="str">
            <v>BUDWEISER ZERO LONG NECK 330ML SIX-PACK SHRINK C/4</v>
          </cell>
          <cell r="F95" t="str">
            <v>CERVEJA</v>
          </cell>
          <cell r="G95" t="str">
            <v>OW</v>
          </cell>
        </row>
        <row r="96">
          <cell r="C96">
            <v>24168</v>
          </cell>
          <cell r="D96" t="str">
            <v>MICULTN LN330 SP SHR.</v>
          </cell>
          <cell r="E96" t="str">
            <v>MICHELOB ULTRA N LONG NECK 330ML SIX-PACK SHRINK C/4</v>
          </cell>
          <cell r="F96" t="str">
            <v>CERVEJA</v>
          </cell>
          <cell r="G96" t="str">
            <v>OW</v>
          </cell>
        </row>
        <row r="97">
          <cell r="C97">
            <v>21658</v>
          </cell>
          <cell r="D97" t="str">
            <v>SPTN LTSL350CXC12.</v>
          </cell>
          <cell r="E97" t="str">
            <v>SPATEN N LT SLEEK 350ML CX CART C 12</v>
          </cell>
          <cell r="F97" t="str">
            <v>CERVEJA</v>
          </cell>
          <cell r="G97" t="str">
            <v>OW</v>
          </cell>
        </row>
        <row r="98">
          <cell r="C98">
            <v>21668</v>
          </cell>
          <cell r="D98" t="str">
            <v>SPTN OW600CX12NPAR.</v>
          </cell>
          <cell r="E98" t="str">
            <v>SPATEN N ONE WAY 600ML CX C/12 NP ARTE</v>
          </cell>
          <cell r="F98" t="str">
            <v>CERVEJA</v>
          </cell>
          <cell r="G98" t="str">
            <v>RGB</v>
          </cell>
        </row>
        <row r="99">
          <cell r="C99">
            <v>13566</v>
          </cell>
          <cell r="D99" t="str">
            <v>SKBTSEN LT269CX8FP.</v>
          </cell>
          <cell r="E99" t="str">
            <v>SKOL BEATS SENSES LT 269ML CX C/8 FRIDGE PACK</v>
          </cell>
          <cell r="F99" t="str">
            <v>CERVEJA</v>
          </cell>
          <cell r="G99" t="str">
            <v>OW</v>
          </cell>
        </row>
        <row r="100">
          <cell r="C100">
            <v>23271</v>
          </cell>
          <cell r="D100" t="str">
            <v>SKBTSEN LN269SPSH4.</v>
          </cell>
          <cell r="E100" t="str">
            <v>SKOL BEATS SENSES LONG NECK 269ML SIX-PACK SH C/4</v>
          </cell>
          <cell r="F100" t="str">
            <v>CERVEJA</v>
          </cell>
          <cell r="G100" t="str">
            <v>OW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CHAMENTO"/>
      <sheetName val="geo exemplo"/>
      <sheetName val="PRODUTOS E CESTAS"/>
      <sheetName val="Planilha1"/>
      <sheetName val="01.11"/>
    </sheetNames>
    <sheetDataSet>
      <sheetData sheetId="0"/>
      <sheetData sheetId="1"/>
      <sheetData sheetId="2">
        <row r="1">
          <cell r="C1" t="str">
            <v>CÓD PROMAX</v>
          </cell>
          <cell r="D1" t="str">
            <v>DESCRIÇÃO</v>
          </cell>
          <cell r="E1" t="str">
            <v>DESCRIÇÃO 01.11</v>
          </cell>
          <cell r="F1" t="str">
            <v>CESTA</v>
          </cell>
          <cell r="G1" t="str">
            <v>CESTA2</v>
          </cell>
        </row>
        <row r="2">
          <cell r="C2">
            <v>7325</v>
          </cell>
          <cell r="D2" t="str">
            <v>PC PT1 CX12.</v>
          </cell>
          <cell r="E2" t="str">
            <v>PEPSI COLA PET 1L CAIXA C/12</v>
          </cell>
          <cell r="F2" t="str">
            <v>NAB</v>
          </cell>
          <cell r="G2" t="str">
            <v>MULTI</v>
          </cell>
        </row>
        <row r="3">
          <cell r="C3">
            <v>7945</v>
          </cell>
          <cell r="D3" t="str">
            <v>PC PET2,5CX6.</v>
          </cell>
          <cell r="E3" t="str">
            <v>PEPSI COLA PET 2,5L CAIXA C/6</v>
          </cell>
          <cell r="F3" t="str">
            <v>NAB</v>
          </cell>
          <cell r="G3" t="str">
            <v>MULTI</v>
          </cell>
        </row>
        <row r="4">
          <cell r="C4">
            <v>9096</v>
          </cell>
          <cell r="D4" t="str">
            <v>PC LT350SH12NP.</v>
          </cell>
          <cell r="E4" t="str">
            <v>PEPSI COLA LATA 350ML SH C/12 NPAL</v>
          </cell>
          <cell r="F4" t="str">
            <v>NAB</v>
          </cell>
          <cell r="G4" t="str">
            <v>SINGLE</v>
          </cell>
        </row>
        <row r="5">
          <cell r="C5">
            <v>18266</v>
          </cell>
          <cell r="D5" t="str">
            <v>PC PT200SH12.</v>
          </cell>
          <cell r="E5" t="str">
            <v>PEPSI COLA PET 200ML SH C/12</v>
          </cell>
          <cell r="F5" t="str">
            <v>NAB</v>
          </cell>
          <cell r="G5" t="str">
            <v>SINGLE</v>
          </cell>
        </row>
        <row r="6">
          <cell r="C6">
            <v>29845</v>
          </cell>
          <cell r="D6" t="str">
            <v>PEBL PT1LSHC12.</v>
          </cell>
          <cell r="E6" t="str">
            <v>PEPSI BLACK PET 1 L SH C/12</v>
          </cell>
          <cell r="F6" t="str">
            <v>NAB</v>
          </cell>
          <cell r="G6" t="str">
            <v>MULTI</v>
          </cell>
        </row>
        <row r="7">
          <cell r="C7">
            <v>347</v>
          </cell>
          <cell r="D7" t="str">
            <v>SU PT1 CX12.</v>
          </cell>
          <cell r="E7" t="str">
            <v>SUKITA PET 1L CAIXA C/12</v>
          </cell>
          <cell r="F7" t="str">
            <v>NAB</v>
          </cell>
          <cell r="G7" t="str">
            <v>MULTI</v>
          </cell>
        </row>
        <row r="8">
          <cell r="C8">
            <v>503</v>
          </cell>
          <cell r="D8" t="str">
            <v>SU PT2 CX6.</v>
          </cell>
          <cell r="E8" t="str">
            <v>SUKITA PET 2L CAIXA C/6</v>
          </cell>
          <cell r="F8" t="str">
            <v>NAB</v>
          </cell>
          <cell r="G8" t="str">
            <v>MULTI</v>
          </cell>
        </row>
        <row r="9">
          <cell r="C9">
            <v>9089</v>
          </cell>
          <cell r="D9" t="str">
            <v>SU LT350SH12NP.</v>
          </cell>
          <cell r="E9" t="str">
            <v>SUKITA LATA 350ML SH C/12 NPAL</v>
          </cell>
          <cell r="F9" t="str">
            <v>NAB</v>
          </cell>
          <cell r="G9" t="str">
            <v>SINGLE</v>
          </cell>
        </row>
        <row r="10">
          <cell r="C10">
            <v>2319</v>
          </cell>
          <cell r="D10" t="str">
            <v>GCA PT1 CX12.</v>
          </cell>
          <cell r="E10" t="str">
            <v>GUARANA CHP ANTARCTICA PET 1L CAIXA C/12</v>
          </cell>
          <cell r="F10" t="str">
            <v>NAB</v>
          </cell>
          <cell r="G10" t="str">
            <v>MULTI</v>
          </cell>
        </row>
        <row r="11">
          <cell r="C11">
            <v>7947</v>
          </cell>
          <cell r="D11" t="str">
            <v>GCA PET2,5CX6.</v>
          </cell>
          <cell r="E11" t="str">
            <v>GUARANA CHP ANTARCTICA PET 2,5L CAIXA C/6</v>
          </cell>
          <cell r="F11" t="str">
            <v>NAB</v>
          </cell>
          <cell r="G11" t="str">
            <v>MULTI</v>
          </cell>
        </row>
        <row r="12">
          <cell r="C12">
            <v>18152</v>
          </cell>
          <cell r="D12" t="str">
            <v>GCA PT200SH12.</v>
          </cell>
          <cell r="E12" t="str">
            <v>GUARANA CHP ANTARCTICA PET 200ML SH C/12</v>
          </cell>
          <cell r="F12" t="str">
            <v>NAB</v>
          </cell>
          <cell r="G12" t="str">
            <v>SINGLE</v>
          </cell>
        </row>
        <row r="13">
          <cell r="C13">
            <v>9087</v>
          </cell>
          <cell r="D13" t="str">
            <v>SLA LT350SH12NP.</v>
          </cell>
          <cell r="E13" t="str">
            <v>SODA LIMONADA ANTARCTICA LATA 350ML SH C/12 NPAL</v>
          </cell>
          <cell r="F13" t="str">
            <v>NAB</v>
          </cell>
          <cell r="G13" t="str">
            <v>SINGLE</v>
          </cell>
        </row>
        <row r="14">
          <cell r="C14">
            <v>9085</v>
          </cell>
          <cell r="D14" t="str">
            <v>GCAD LT350SH12NP.</v>
          </cell>
          <cell r="E14" t="str">
            <v>GUARANA CHP ANTARCTICA DIET LATA 350ML SH C/12 NPAL</v>
          </cell>
          <cell r="F14" t="str">
            <v>NAB</v>
          </cell>
          <cell r="G14" t="str">
            <v>SINGLE</v>
          </cell>
        </row>
        <row r="15">
          <cell r="C15">
            <v>8791</v>
          </cell>
          <cell r="D15" t="str">
            <v>H2OH PT500 CX12.</v>
          </cell>
          <cell r="E15" t="str">
            <v>H2OH LIMAO C/GAS PET 500ML CAIXA C/12</v>
          </cell>
          <cell r="F15" t="str">
            <v>NAB</v>
          </cell>
          <cell r="G15" t="str">
            <v>SINGLE</v>
          </cell>
        </row>
        <row r="16">
          <cell r="C16">
            <v>13061</v>
          </cell>
          <cell r="D16" t="str">
            <v>H2OH LNETO PT500SHC1.</v>
          </cell>
          <cell r="E16" t="str">
            <v>H2OH LIMONETO PET 500ML SHRINK C/12 NPAL</v>
          </cell>
          <cell r="F16" t="str">
            <v>NAB</v>
          </cell>
          <cell r="G16" t="str">
            <v>SINGLE</v>
          </cell>
        </row>
        <row r="17">
          <cell r="C17">
            <v>7977</v>
          </cell>
          <cell r="D17" t="str">
            <v>GT UVA PET500 6.</v>
          </cell>
          <cell r="E17" t="str">
            <v>GATORADE UVA PET 500ML SIXPACK</v>
          </cell>
          <cell r="F17" t="str">
            <v>NAB</v>
          </cell>
          <cell r="G17" t="str">
            <v>SINGLE</v>
          </cell>
        </row>
        <row r="18">
          <cell r="C18">
            <v>7981</v>
          </cell>
          <cell r="D18" t="str">
            <v>GT LAR PET500 6.</v>
          </cell>
          <cell r="E18" t="str">
            <v>GATORADE LARANJA PET 500ML SIXPACK</v>
          </cell>
          <cell r="F18" t="str">
            <v>NAB</v>
          </cell>
          <cell r="G18" t="str">
            <v>SINGLE</v>
          </cell>
        </row>
        <row r="19">
          <cell r="C19">
            <v>7982</v>
          </cell>
          <cell r="D19" t="str">
            <v>GT LM PET500 6.</v>
          </cell>
          <cell r="E19" t="str">
            <v>GATORADE LIMAO PET 500ML SIXPACK</v>
          </cell>
          <cell r="F19" t="str">
            <v>NAB</v>
          </cell>
          <cell r="G19" t="str">
            <v>SINGLE</v>
          </cell>
        </row>
        <row r="20">
          <cell r="C20">
            <v>7983</v>
          </cell>
          <cell r="D20" t="str">
            <v>GT MO-MA PET500 6.</v>
          </cell>
          <cell r="E20" t="str">
            <v>GATORADE MORANGO-MARACUJA PET 500ML SIXPACK</v>
          </cell>
          <cell r="F20" t="str">
            <v>NAB</v>
          </cell>
          <cell r="G20" t="str">
            <v>SINGLE</v>
          </cell>
        </row>
        <row r="21">
          <cell r="C21">
            <v>19229</v>
          </cell>
          <cell r="D21" t="str">
            <v>RB BR LT250SPNP ..</v>
          </cell>
          <cell r="E21" t="str">
            <v>RED BULL BR LATA 250ML SIX PACK NPAL .</v>
          </cell>
          <cell r="F21" t="str">
            <v>NAB</v>
          </cell>
          <cell r="G21" t="str">
            <v>SINGLE</v>
          </cell>
        </row>
        <row r="22">
          <cell r="C22">
            <v>30045</v>
          </cell>
          <cell r="D22" t="str">
            <v>RB BR LT473ML CXC12.</v>
          </cell>
          <cell r="E22" t="str">
            <v>RED BULL BR LATA 473ML CX C 12</v>
          </cell>
          <cell r="F22" t="str">
            <v>NAB</v>
          </cell>
          <cell r="G22" t="str">
            <v>SINGLE</v>
          </cell>
        </row>
        <row r="23">
          <cell r="C23">
            <v>9069</v>
          </cell>
          <cell r="D23" t="str">
            <v>BC LT350SH12NP.</v>
          </cell>
          <cell r="E23" t="str">
            <v>BRAHMA CHOPP LATA 350ML SH C/12 NPAL</v>
          </cell>
          <cell r="F23" t="str">
            <v>CERVEJA</v>
          </cell>
          <cell r="G23" t="str">
            <v>OW</v>
          </cell>
        </row>
        <row r="24">
          <cell r="C24">
            <v>33820</v>
          </cell>
          <cell r="D24" t="str">
            <v>BC LT350SH12NP MULTP.</v>
          </cell>
          <cell r="E24" t="str">
            <v>BRAHMA CHOPP LATA 350ML SH C/12 NPAL MULTIPACK .</v>
          </cell>
          <cell r="F24" t="str">
            <v>CERVEJA</v>
          </cell>
          <cell r="G24" t="str">
            <v>OW</v>
          </cell>
        </row>
        <row r="25">
          <cell r="C25">
            <v>1898</v>
          </cell>
          <cell r="D25" t="str">
            <v>BC L269SH15NP.</v>
          </cell>
          <cell r="E25" t="str">
            <v>BRAHMA CHOPP LT 269ML SH C15 NPAL</v>
          </cell>
          <cell r="F25" t="str">
            <v>CERVEJA</v>
          </cell>
          <cell r="G25" t="str">
            <v>OW</v>
          </cell>
        </row>
        <row r="26">
          <cell r="C26">
            <v>988</v>
          </cell>
          <cell r="D26" t="str">
            <v>BC 600.</v>
          </cell>
          <cell r="E26" t="str">
            <v>BRAHMA CHOPP 600ML</v>
          </cell>
          <cell r="F26" t="str">
            <v>CERVEJA</v>
          </cell>
          <cell r="G26" t="str">
            <v>RGB</v>
          </cell>
        </row>
        <row r="27">
          <cell r="C27">
            <v>1695</v>
          </cell>
          <cell r="D27" t="str">
            <v>BC GFAVD1L COM TTC.</v>
          </cell>
          <cell r="E27" t="str">
            <v>BRAHMA CHOPP GFA VD 1L COM TTC</v>
          </cell>
          <cell r="F27" t="str">
            <v>CERVEJA</v>
          </cell>
          <cell r="G27" t="str">
            <v>RGB</v>
          </cell>
        </row>
        <row r="28">
          <cell r="C28">
            <v>13201</v>
          </cell>
          <cell r="D28" t="str">
            <v>BC GFVD300C23.</v>
          </cell>
          <cell r="E28" t="str">
            <v>BRAHMA CHOPP GFA VD 300ML CX C/23</v>
          </cell>
          <cell r="F28" t="str">
            <v>CERVEJA</v>
          </cell>
          <cell r="G28" t="str">
            <v>RGB</v>
          </cell>
        </row>
        <row r="29">
          <cell r="C29">
            <v>12948</v>
          </cell>
          <cell r="D29" t="str">
            <v>BCZ LT350SH12NP.</v>
          </cell>
          <cell r="E29" t="str">
            <v>BRAHMA CHOPP ZERO LATA 350ML SH C/12 NPAL</v>
          </cell>
          <cell r="F29" t="str">
            <v>CERVEJA</v>
          </cell>
          <cell r="G29" t="str">
            <v>OW</v>
          </cell>
        </row>
        <row r="30">
          <cell r="C30">
            <v>12951</v>
          </cell>
          <cell r="D30" t="str">
            <v>BCZ LN355SPCTC4.</v>
          </cell>
          <cell r="E30" t="str">
            <v>BRAHMA CHOPP ZERO LN 355ML SIXPACK CX CART C/04</v>
          </cell>
          <cell r="F30" t="str">
            <v>CERVEJA</v>
          </cell>
          <cell r="G30" t="str">
            <v>OW</v>
          </cell>
        </row>
        <row r="31">
          <cell r="C31">
            <v>20498</v>
          </cell>
          <cell r="D31" t="str">
            <v>BRDM LTSL350SH12.</v>
          </cell>
          <cell r="E31" t="str">
            <v>BRAHMA DUPLO MALTE LT SLEEK 350ML SH C 12</v>
          </cell>
          <cell r="F31" t="str">
            <v>CERVEJA</v>
          </cell>
          <cell r="G31" t="str">
            <v>OW</v>
          </cell>
        </row>
        <row r="32">
          <cell r="C32">
            <v>1745</v>
          </cell>
          <cell r="D32" t="str">
            <v>SK L269SH15NP.</v>
          </cell>
          <cell r="E32" t="str">
            <v>SKOL LT 269ML SH C15 NPAL</v>
          </cell>
          <cell r="F32" t="str">
            <v>CERVEJA</v>
          </cell>
          <cell r="G32" t="str">
            <v>OW</v>
          </cell>
        </row>
        <row r="33">
          <cell r="C33">
            <v>9068</v>
          </cell>
          <cell r="D33" t="str">
            <v>SK LT350SH12NP.</v>
          </cell>
          <cell r="E33" t="str">
            <v>SKOL LATA 350ML SH C/12 NPAL</v>
          </cell>
          <cell r="F33" t="str">
            <v>CERVEJA</v>
          </cell>
          <cell r="G33" t="str">
            <v>OW</v>
          </cell>
        </row>
        <row r="34">
          <cell r="C34">
            <v>34608</v>
          </cell>
          <cell r="D34" t="str">
            <v>SK LT350SH12NP MPK.</v>
          </cell>
          <cell r="E34" t="str">
            <v>SKOL LATA 350ML SH C/12 NPAL MULTIPACK</v>
          </cell>
          <cell r="F34" t="str">
            <v>CERVEJA</v>
          </cell>
          <cell r="G34" t="str">
            <v>OW</v>
          </cell>
        </row>
        <row r="35">
          <cell r="C35">
            <v>982</v>
          </cell>
          <cell r="D35" t="str">
            <v>SK 600.</v>
          </cell>
          <cell r="E35" t="str">
            <v>SKOL 600ML</v>
          </cell>
          <cell r="F35" t="str">
            <v>CERVEJA</v>
          </cell>
          <cell r="G35" t="str">
            <v>RGB</v>
          </cell>
        </row>
        <row r="36">
          <cell r="C36">
            <v>1388</v>
          </cell>
          <cell r="D36" t="str">
            <v>SK GFAVD1L 2,99.</v>
          </cell>
          <cell r="E36" t="str">
            <v>SKOL GFA VD 1L 2,99</v>
          </cell>
          <cell r="F36" t="str">
            <v>CERVEJA</v>
          </cell>
          <cell r="G36" t="str">
            <v>RGB</v>
          </cell>
        </row>
        <row r="37">
          <cell r="C37">
            <v>13205</v>
          </cell>
          <cell r="D37" t="str">
            <v>SK GFVD300C23.</v>
          </cell>
          <cell r="E37" t="str">
            <v>SKOL GFA VD 300ML CX C/23</v>
          </cell>
          <cell r="F37" t="str">
            <v>CERVEJA</v>
          </cell>
          <cell r="G37" t="str">
            <v>RGB</v>
          </cell>
        </row>
        <row r="38">
          <cell r="C38">
            <v>18807</v>
          </cell>
          <cell r="D38" t="str">
            <v>S ARTOIS LN330 SP SH.</v>
          </cell>
          <cell r="E38" t="str">
            <v>STELLA ARTOIS LONG NECK 330ML SIX-PACK SHRINK C/4</v>
          </cell>
          <cell r="F38" t="str">
            <v>CERVEJA</v>
          </cell>
          <cell r="G38" t="str">
            <v>OW</v>
          </cell>
        </row>
        <row r="39">
          <cell r="C39">
            <v>19729</v>
          </cell>
          <cell r="D39" t="str">
            <v>S ARTOIS LTSL350C8CA.</v>
          </cell>
          <cell r="E39" t="str">
            <v>STELLA ARTOIS LT SLEEK 350ML C 8 CX CARTAO</v>
          </cell>
          <cell r="F39" t="str">
            <v>CERVEJA</v>
          </cell>
          <cell r="G39" t="str">
            <v>OW</v>
          </cell>
        </row>
        <row r="40">
          <cell r="C40">
            <v>20530</v>
          </cell>
          <cell r="D40" t="str">
            <v>S ARTOIS 600 ML.</v>
          </cell>
          <cell r="E40" t="str">
            <v>STELLA ARTOIS 600 ML</v>
          </cell>
          <cell r="F40" t="str">
            <v>CERVEJA</v>
          </cell>
          <cell r="G40" t="str">
            <v>RGB</v>
          </cell>
        </row>
        <row r="41">
          <cell r="C41">
            <v>29580</v>
          </cell>
          <cell r="D41" t="str">
            <v>STARTPG LN330 SP SHC.</v>
          </cell>
          <cell r="E41" t="str">
            <v>STELLA ARTOIS PURE GOLD LONG NECK 330ML SP SH C/4</v>
          </cell>
          <cell r="F41" t="str">
            <v>CERVEJA</v>
          </cell>
          <cell r="G41" t="str">
            <v>OW</v>
          </cell>
        </row>
        <row r="42">
          <cell r="C42">
            <v>2546</v>
          </cell>
          <cell r="D42" t="str">
            <v>ORIGINAL 600.</v>
          </cell>
          <cell r="E42" t="str">
            <v>ORIGINAL 600ML</v>
          </cell>
          <cell r="F42" t="str">
            <v>CERVEJA</v>
          </cell>
          <cell r="G42" t="str">
            <v>RGB</v>
          </cell>
        </row>
        <row r="43">
          <cell r="C43">
            <v>19668</v>
          </cell>
          <cell r="D43" t="str">
            <v>ORIGINAL LT350SH12NP.</v>
          </cell>
          <cell r="E43" t="str">
            <v>ORIGINAL LATA 350ML SH C/12 NPAL</v>
          </cell>
          <cell r="F43" t="str">
            <v>CERVEJA</v>
          </cell>
          <cell r="G43" t="str">
            <v>OW</v>
          </cell>
        </row>
        <row r="44">
          <cell r="C44">
            <v>9067</v>
          </cell>
          <cell r="D44" t="str">
            <v>AP LT350SH12NP.</v>
          </cell>
          <cell r="E44" t="str">
            <v>ANTARCTICA PILSEN LATA 350ML SH C/12 NPAL</v>
          </cell>
          <cell r="F44" t="str">
            <v>CERVEJA</v>
          </cell>
          <cell r="G44" t="str">
            <v>OW</v>
          </cell>
        </row>
        <row r="45">
          <cell r="C45">
            <v>1743</v>
          </cell>
          <cell r="D45" t="str">
            <v>AP GFAVD1L COM TTC.</v>
          </cell>
          <cell r="E45" t="str">
            <v>ANTARCTICA PILSEN GFA VD 1L COM TTC</v>
          </cell>
          <cell r="F45" t="str">
            <v>CERVEJA</v>
          </cell>
          <cell r="G45" t="str">
            <v>RGB</v>
          </cell>
        </row>
        <row r="46">
          <cell r="C46">
            <v>2538</v>
          </cell>
          <cell r="D46" t="str">
            <v>AP 600.</v>
          </cell>
          <cell r="E46" t="str">
            <v>ANTARCTICA PILSEN 600ML</v>
          </cell>
          <cell r="F46" t="str">
            <v>CERVEJA</v>
          </cell>
          <cell r="G46" t="str">
            <v>RGB</v>
          </cell>
        </row>
        <row r="47">
          <cell r="C47">
            <v>2008</v>
          </cell>
          <cell r="D47" t="str">
            <v>ASUBZERO LT350SH12NP.</v>
          </cell>
          <cell r="E47" t="str">
            <v>ANTARCTICA SUBZERO LATA 350ML SH C/12 NPAL</v>
          </cell>
          <cell r="F47" t="str">
            <v>CERVEJA</v>
          </cell>
          <cell r="G47" t="str">
            <v>OW</v>
          </cell>
        </row>
        <row r="48">
          <cell r="C48">
            <v>2006</v>
          </cell>
          <cell r="D48" t="str">
            <v>ASUBZERO 600.</v>
          </cell>
          <cell r="E48" t="str">
            <v>ANTARCTICA SUBZERO 600ML</v>
          </cell>
          <cell r="F48" t="str">
            <v>CERVEJA</v>
          </cell>
          <cell r="G48" t="str">
            <v>RGB</v>
          </cell>
        </row>
        <row r="49">
          <cell r="C49">
            <v>9072</v>
          </cell>
          <cell r="D49" t="str">
            <v>BONOV LT350SH12NP.</v>
          </cell>
          <cell r="E49" t="str">
            <v>BOHEMIA NOVA EMBALAGEM LATA 350ML SH C/12 NPAL</v>
          </cell>
          <cell r="F49" t="str">
            <v>CERVEJA</v>
          </cell>
          <cell r="G49" t="str">
            <v>OW</v>
          </cell>
        </row>
        <row r="50">
          <cell r="C50">
            <v>2548</v>
          </cell>
          <cell r="D50" t="str">
            <v>BUD 600.</v>
          </cell>
          <cell r="E50" t="str">
            <v>BUDWEISER 600ML</v>
          </cell>
          <cell r="F50" t="str">
            <v>CERVEJA</v>
          </cell>
          <cell r="G50" t="str">
            <v>RGB</v>
          </cell>
        </row>
        <row r="51">
          <cell r="C51">
            <v>17808</v>
          </cell>
          <cell r="D51" t="str">
            <v>BUD OW330 C 24.</v>
          </cell>
          <cell r="E51" t="str">
            <v>BUDWEISER OW 330ML CX C/24</v>
          </cell>
          <cell r="F51" t="str">
            <v>CERVEJA</v>
          </cell>
          <cell r="G51" t="str">
            <v>OW</v>
          </cell>
        </row>
        <row r="52">
          <cell r="C52">
            <v>21020</v>
          </cell>
          <cell r="D52" t="str">
            <v>BUD LTSL350CXC12.</v>
          </cell>
          <cell r="E52" t="str">
            <v>BUDWEISER LT SLEEK 350ML CX CART C 12</v>
          </cell>
          <cell r="F52" t="str">
            <v>CERVEJA</v>
          </cell>
          <cell r="G52" t="str">
            <v>OW</v>
          </cell>
        </row>
        <row r="53">
          <cell r="C53">
            <v>18836</v>
          </cell>
          <cell r="D53" t="str">
            <v>COREXTN LN330CX24NP.</v>
          </cell>
          <cell r="E53" t="str">
            <v>CORONA EXTRA N LONG NECK 330ML CX C/24 NPAL</v>
          </cell>
          <cell r="F53" t="str">
            <v>CERVEJA</v>
          </cell>
          <cell r="G53" t="str">
            <v>OW</v>
          </cell>
        </row>
        <row r="54">
          <cell r="C54">
            <v>27866</v>
          </cell>
          <cell r="D54" t="str">
            <v>CORCES LN330MLSPBCXC.</v>
          </cell>
          <cell r="E54" t="str">
            <v>CORONA CERO SUNBREW N LONG NECK 330 ML SP BASKET CX C4</v>
          </cell>
          <cell r="F54" t="str">
            <v>CERVEJA</v>
          </cell>
          <cell r="G54" t="str">
            <v>OW</v>
          </cell>
        </row>
        <row r="55">
          <cell r="C55">
            <v>21632</v>
          </cell>
          <cell r="D55" t="str">
            <v>SPTN LN355SPSH4.</v>
          </cell>
          <cell r="E55" t="str">
            <v>SPATEN N LN 355ML SIXPACK SH C/4</v>
          </cell>
          <cell r="F55" t="str">
            <v>CERVEJA</v>
          </cell>
          <cell r="G55" t="str">
            <v>OW</v>
          </cell>
        </row>
        <row r="56">
          <cell r="C56">
            <v>23186</v>
          </cell>
          <cell r="D56" t="str">
            <v>SPTN 600.</v>
          </cell>
          <cell r="E56" t="str">
            <v>SPATEN N 600ML</v>
          </cell>
          <cell r="F56" t="str">
            <v>CERVEJA</v>
          </cell>
          <cell r="G56" t="str">
            <v>RGB</v>
          </cell>
        </row>
        <row r="57">
          <cell r="C57">
            <v>35617</v>
          </cell>
          <cell r="D57" t="str">
            <v>BTGREENMIX LT269MLSH.</v>
          </cell>
          <cell r="E57" t="str">
            <v>BEATS GREEN MIX LT 269ML SH C/8</v>
          </cell>
          <cell r="F57" t="str">
            <v>CERVEJA</v>
          </cell>
          <cell r="G57" t="str">
            <v>OW</v>
          </cell>
        </row>
        <row r="58">
          <cell r="C58">
            <v>504</v>
          </cell>
          <cell r="D58" t="str">
            <v>PC PT2 CX6.</v>
          </cell>
          <cell r="E58" t="str">
            <v>PEPSI COLA PET 2L CAIXA C/6</v>
          </cell>
          <cell r="F58" t="str">
            <v>NAB</v>
          </cell>
          <cell r="G58" t="str">
            <v>MULTI</v>
          </cell>
        </row>
        <row r="59">
          <cell r="C59">
            <v>18268</v>
          </cell>
          <cell r="D59" t="str">
            <v>SU PT200SH12.</v>
          </cell>
          <cell r="E59" t="str">
            <v>SUKITA PET 200ML SH C/12</v>
          </cell>
          <cell r="F59" t="str">
            <v>NAB</v>
          </cell>
          <cell r="G59" t="str">
            <v>SINGLE</v>
          </cell>
        </row>
        <row r="60">
          <cell r="C60">
            <v>1166</v>
          </cell>
          <cell r="D60" t="str">
            <v>SUKITA UVA PT2 CX6.</v>
          </cell>
          <cell r="E60" t="str">
            <v>SUKITA UVA PET 2L CAIXA C/6</v>
          </cell>
          <cell r="F60" t="str">
            <v>NAB</v>
          </cell>
          <cell r="G60" t="str">
            <v>MULTI</v>
          </cell>
        </row>
        <row r="61">
          <cell r="C61">
            <v>9084</v>
          </cell>
          <cell r="D61" t="str">
            <v>GCA LT350SH12NP.</v>
          </cell>
          <cell r="E61" t="str">
            <v>GUARANA CHP ANTARCTICA LATA 350ML SH C/12 NPAL</v>
          </cell>
          <cell r="F61" t="str">
            <v>NAB</v>
          </cell>
          <cell r="G61" t="str">
            <v>SINGLE</v>
          </cell>
        </row>
        <row r="62">
          <cell r="C62">
            <v>2349</v>
          </cell>
          <cell r="D62" t="str">
            <v>GCA PT2 CX6.</v>
          </cell>
          <cell r="E62" t="str">
            <v>GUARANA CHP ANTARCTICA PET 2L CAIXA C/6</v>
          </cell>
          <cell r="F62" t="str">
            <v>NAB</v>
          </cell>
          <cell r="G62" t="str">
            <v>MULTI</v>
          </cell>
        </row>
        <row r="63">
          <cell r="C63">
            <v>9795</v>
          </cell>
          <cell r="D63" t="str">
            <v>GAZR PT1 CX12.</v>
          </cell>
          <cell r="E63" t="str">
            <v>GUARANA ANTARCTICA ZERO PET 1L CAIXA C/12</v>
          </cell>
          <cell r="F63" t="str">
            <v>NAB</v>
          </cell>
          <cell r="G63" t="str">
            <v>MULTI</v>
          </cell>
        </row>
        <row r="64">
          <cell r="C64">
            <v>18267</v>
          </cell>
          <cell r="D64" t="str">
            <v>SLA PT200SH12.</v>
          </cell>
          <cell r="E64" t="str">
            <v>SODA LIMONADA ANTARCTICA PET 200ML SH C/12</v>
          </cell>
          <cell r="F64" t="str">
            <v>NAB</v>
          </cell>
          <cell r="G64" t="str">
            <v>SINGLE</v>
          </cell>
        </row>
        <row r="65">
          <cell r="C65">
            <v>2353</v>
          </cell>
          <cell r="D65" t="str">
            <v>GCAD PT2 CX6.</v>
          </cell>
          <cell r="E65" t="str">
            <v>GUARANA CHP ANTARCTICA DIET PET 2L CAIXA C/6</v>
          </cell>
          <cell r="F65" t="str">
            <v>NAB</v>
          </cell>
          <cell r="G65" t="str">
            <v>MULTI</v>
          </cell>
        </row>
        <row r="66">
          <cell r="C66">
            <v>19231</v>
          </cell>
          <cell r="D66" t="str">
            <v>RB SF BR LT250FPNP ..</v>
          </cell>
          <cell r="E66" t="str">
            <v>RED BULL SUGAR FREE BR LATA 250ML FOUR PACK NPAL .</v>
          </cell>
          <cell r="F66" t="str">
            <v>NAB</v>
          </cell>
          <cell r="G66" t="str">
            <v>SINGLE</v>
          </cell>
        </row>
        <row r="67">
          <cell r="C67">
            <v>21666</v>
          </cell>
          <cell r="D67" t="str">
            <v>RBT BR LT250FPNP ..</v>
          </cell>
          <cell r="E67" t="str">
            <v>RED BULL TROPICAL BR LATA 250ML FOUR PACK NPAL .</v>
          </cell>
          <cell r="F67" t="str">
            <v>NAB</v>
          </cell>
          <cell r="G67" t="str">
            <v>SINGLE</v>
          </cell>
        </row>
        <row r="68">
          <cell r="C68">
            <v>34420</v>
          </cell>
          <cell r="D68" t="str">
            <v>RBSMARMEL LT250FPNP.</v>
          </cell>
          <cell r="E68" t="str">
            <v>RED BULL SUMMER MARACUJA E MELAO LATA 250ML FOUR PACK NPAL</v>
          </cell>
          <cell r="F68" t="str">
            <v>NAB</v>
          </cell>
          <cell r="G68" t="str">
            <v>SINGLE</v>
          </cell>
        </row>
        <row r="69">
          <cell r="C69">
            <v>34770</v>
          </cell>
          <cell r="D69" t="str">
            <v>RBSFPOM LT250FPNP.</v>
          </cell>
          <cell r="E69" t="str">
            <v>RED BULL SUGAR FREE POMELO LATA 250ML FOUR PACK NPAL</v>
          </cell>
          <cell r="F69" t="str">
            <v>NAB</v>
          </cell>
          <cell r="G69" t="str">
            <v>SINGLE</v>
          </cell>
        </row>
        <row r="70">
          <cell r="C70">
            <v>20535</v>
          </cell>
          <cell r="D70" t="str">
            <v>S ARTOIS OW600CXC12N.</v>
          </cell>
          <cell r="E70" t="str">
            <v>STELLA ARTOIS ONE WAY 600ML CX C/12 NPAL</v>
          </cell>
          <cell r="F70" t="str">
            <v>CERVEJA</v>
          </cell>
          <cell r="G70" t="str">
            <v>RGB</v>
          </cell>
        </row>
        <row r="71">
          <cell r="C71">
            <v>20217</v>
          </cell>
          <cell r="D71" t="str">
            <v>ORIGINAL GFVD300C23.</v>
          </cell>
          <cell r="E71" t="str">
            <v>ORIGINAL GFA VD 300ML CX C/23</v>
          </cell>
          <cell r="F71" t="str">
            <v>CERVEJA</v>
          </cell>
          <cell r="G71" t="str">
            <v>RGB</v>
          </cell>
        </row>
        <row r="72">
          <cell r="C72">
            <v>35331</v>
          </cell>
          <cell r="D72" t="str">
            <v>BUD GFAVD1L.</v>
          </cell>
          <cell r="E72" t="str">
            <v>BUDWEISER GFA VD 1L</v>
          </cell>
          <cell r="F72" t="str">
            <v>CERVEJA</v>
          </cell>
          <cell r="G72" t="str">
            <v>RGB</v>
          </cell>
        </row>
        <row r="73">
          <cell r="C73">
            <v>20651</v>
          </cell>
          <cell r="D73" t="str">
            <v>COREXTN LTSL350C8CAR.</v>
          </cell>
          <cell r="E73" t="str">
            <v>CORONA EXTRA N LT SLEEK 350ML C 8 CX CARTAO</v>
          </cell>
          <cell r="F73" t="str">
            <v>CERVEJA</v>
          </cell>
          <cell r="G73" t="str">
            <v>OW</v>
          </cell>
        </row>
        <row r="74">
          <cell r="C74">
            <v>29197</v>
          </cell>
          <cell r="D74" t="str">
            <v>TGREPL PCT18GDPC/18.</v>
          </cell>
          <cell r="E74" t="str">
            <v>TANG REFRESCO EM PO LIMAO PCT 18G DP C/18</v>
          </cell>
          <cell r="F74" t="str">
            <v>OUTROS</v>
          </cell>
          <cell r="G74" t="str">
            <v>-</v>
          </cell>
        </row>
        <row r="75">
          <cell r="C75">
            <v>29199</v>
          </cell>
          <cell r="D75" t="str">
            <v>TREPL PCT18GDPC/18.</v>
          </cell>
          <cell r="E75" t="str">
            <v>TANG REFRESCO EM PO LARANJA PCT 18G DP C/18</v>
          </cell>
          <cell r="F75" t="str">
            <v>OUTROS</v>
          </cell>
          <cell r="G75" t="str">
            <v>-</v>
          </cell>
        </row>
        <row r="76">
          <cell r="C76">
            <v>29201</v>
          </cell>
          <cell r="D76" t="str">
            <v>TREPA PCT18GDPC/18.</v>
          </cell>
          <cell r="E76" t="str">
            <v>TANG REFRESCO EM PO ABACAXI PCT 18G DP C/18</v>
          </cell>
          <cell r="F76" t="str">
            <v>OUTROS</v>
          </cell>
          <cell r="G76" t="str">
            <v>-</v>
          </cell>
        </row>
        <row r="77">
          <cell r="C77">
            <v>29215</v>
          </cell>
          <cell r="D77" t="str">
            <v>TREPU PCT18GDPC/18.</v>
          </cell>
          <cell r="E77" t="str">
            <v>TANG REFRESCO EM PO UVA PCT 18G DP C/18</v>
          </cell>
          <cell r="F77" t="str">
            <v>OUTROS</v>
          </cell>
          <cell r="G77" t="str">
            <v>-</v>
          </cell>
        </row>
        <row r="78">
          <cell r="C78">
            <v>21974</v>
          </cell>
          <cell r="D78" t="str">
            <v>TRIDTUTFRUT ENV8GCXC.</v>
          </cell>
          <cell r="E78" t="str">
            <v>TRIDENT TUTTI-FRUTTI ENVELOPE 8G CX C/21</v>
          </cell>
          <cell r="F78" t="str">
            <v>OUTROS</v>
          </cell>
          <cell r="G78" t="str">
            <v>-</v>
          </cell>
        </row>
        <row r="79">
          <cell r="C79">
            <v>21973</v>
          </cell>
          <cell r="D79" t="str">
            <v>TRIDMELAN ENV8GCXC21.</v>
          </cell>
          <cell r="E79" t="str">
            <v>TRIDENT MELANCIA ENVELOPE 8G CX C/21</v>
          </cell>
          <cell r="F79" t="str">
            <v>OUTROS</v>
          </cell>
          <cell r="G79" t="str">
            <v>-</v>
          </cell>
        </row>
        <row r="80">
          <cell r="C80">
            <v>21968</v>
          </cell>
          <cell r="D80" t="str">
            <v>TRIDENTH ENV8GCXC21.</v>
          </cell>
          <cell r="E80" t="str">
            <v>TRIDENT HORTELA ENVELOPE 8G CX C/21</v>
          </cell>
          <cell r="F80" t="str">
            <v>OUTROS</v>
          </cell>
          <cell r="G80" t="str">
            <v>-</v>
          </cell>
        </row>
        <row r="81">
          <cell r="C81">
            <v>34296</v>
          </cell>
          <cell r="D81" t="str">
            <v>TRIDCAN ENV8GCXC21.</v>
          </cell>
          <cell r="E81" t="str">
            <v>TRIDENT CANELA ENVELOPE 8G CX C/21</v>
          </cell>
          <cell r="F81" t="str">
            <v>OUTROS</v>
          </cell>
          <cell r="G81" t="str">
            <v>-</v>
          </cell>
        </row>
        <row r="82">
          <cell r="C82">
            <v>26099</v>
          </cell>
          <cell r="D82" t="str">
            <v>TRIDXFI ENVLP8GCX21.</v>
          </cell>
          <cell r="E82" t="str">
            <v>TRIDENT XFRESH INTENSE ENVELOPE 8G CX21_</v>
          </cell>
          <cell r="F82" t="str">
            <v>OUTROS</v>
          </cell>
          <cell r="G82" t="str">
            <v>-</v>
          </cell>
        </row>
        <row r="83">
          <cell r="C83">
            <v>27177</v>
          </cell>
          <cell r="D83" t="str">
            <v>HALMENT ENV28GCXC21.</v>
          </cell>
          <cell r="E83" t="str">
            <v>HALLS MENTOL ENVELOPE 28G CX C/21</v>
          </cell>
          <cell r="F83" t="str">
            <v>OUTROS</v>
          </cell>
          <cell r="G83" t="str">
            <v>-</v>
          </cell>
        </row>
        <row r="84">
          <cell r="C84">
            <v>22007</v>
          </cell>
          <cell r="D84" t="str">
            <v>HALLSEF ENV28GCXC21.</v>
          </cell>
          <cell r="E84" t="str">
            <v>HALLS EXTRA FORTE ENVELOPE 28G CX C/21</v>
          </cell>
          <cell r="F84" t="str">
            <v>OUTROS</v>
          </cell>
          <cell r="G84" t="str">
            <v>-</v>
          </cell>
        </row>
        <row r="85">
          <cell r="C85">
            <v>29733</v>
          </cell>
          <cell r="D85" t="str">
            <v>HALMEL ENV28GCXC21.</v>
          </cell>
          <cell r="E85" t="str">
            <v>HALLS MELANCIA ENVELOPE 28G CX C/21</v>
          </cell>
          <cell r="F85" t="str">
            <v>OUTROS</v>
          </cell>
          <cell r="G85" t="str">
            <v>-</v>
          </cell>
        </row>
        <row r="86">
          <cell r="C86">
            <v>34410</v>
          </cell>
          <cell r="D86" t="str">
            <v>HALUVVE ENV28GCXC21.</v>
          </cell>
          <cell r="E86" t="str">
            <v>HALLS UVA VERDE ENVELOPE 28G CX C/21</v>
          </cell>
          <cell r="F86" t="str">
            <v>OUTROS</v>
          </cell>
          <cell r="G86" t="str">
            <v>-</v>
          </cell>
        </row>
        <row r="87">
          <cell r="C87">
            <v>24409</v>
          </cell>
          <cell r="D87" t="str">
            <v>QMVTS GFAVD750ML.</v>
          </cell>
          <cell r="E87" t="str">
            <v>QUINTA DO MORGADO VINHO TINTO SUAVE GFA VD 750 ML</v>
          </cell>
          <cell r="F87" t="str">
            <v>DESTILADO</v>
          </cell>
          <cell r="G87" t="str">
            <v>OW</v>
          </cell>
        </row>
        <row r="88">
          <cell r="C88">
            <v>9274</v>
          </cell>
          <cell r="D88" t="str">
            <v>PEPZERO LT350SH12NP.</v>
          </cell>
          <cell r="E88" t="str">
            <v>PEPSI ZERO LATA 350ML SH C/12 NPAL</v>
          </cell>
          <cell r="F88" t="str">
            <v>NAB</v>
          </cell>
          <cell r="G88" t="str">
            <v>SINGLE</v>
          </cell>
        </row>
        <row r="89">
          <cell r="C89">
            <v>4293</v>
          </cell>
          <cell r="D89" t="str">
            <v>PEBL PT200SH12.</v>
          </cell>
          <cell r="E89" t="str">
            <v>PEPSI BLACK PET 200ML SH C/12</v>
          </cell>
          <cell r="F89" t="str">
            <v>NAB</v>
          </cell>
          <cell r="G89" t="str">
            <v>SINGLE</v>
          </cell>
        </row>
        <row r="90">
          <cell r="C90">
            <v>2320</v>
          </cell>
          <cell r="D90" t="str">
            <v>SLA PT1 CX12.</v>
          </cell>
          <cell r="E90" t="str">
            <v>SODA LIMONADA ANTARCTICA PET 1L CAIXA C/12</v>
          </cell>
          <cell r="F90" t="str">
            <v>NAB</v>
          </cell>
          <cell r="G90" t="str">
            <v>MULTI</v>
          </cell>
        </row>
        <row r="91">
          <cell r="C91">
            <v>9091</v>
          </cell>
          <cell r="D91" t="str">
            <v>TA LT350SH12NP.</v>
          </cell>
          <cell r="E91" t="str">
            <v>TONICA ANTARCTICA LATA 350ML SH C/12 NPAL</v>
          </cell>
          <cell r="F91" t="str">
            <v>NAB</v>
          </cell>
          <cell r="G91" t="str">
            <v>SINGLE</v>
          </cell>
        </row>
        <row r="92">
          <cell r="C92">
            <v>838</v>
          </cell>
          <cell r="D92" t="str">
            <v>CHP BR CL KEG50.</v>
          </cell>
          <cell r="E92" t="str">
            <v>CHOPP BRAHMA CLARO BARRIL KEG 50L</v>
          </cell>
          <cell r="F92" t="str">
            <v>CERVEJA</v>
          </cell>
          <cell r="G92" t="str">
            <v>RGB</v>
          </cell>
        </row>
        <row r="93">
          <cell r="C93">
            <v>33818</v>
          </cell>
          <cell r="D93" t="str">
            <v>ORIGINAL LT350 SRHK1.</v>
          </cell>
          <cell r="E93" t="str">
            <v>ORIGINAL LATA 350ML SHRINK C/12 MULTPACK</v>
          </cell>
          <cell r="F93" t="str">
            <v>CERVEJA</v>
          </cell>
          <cell r="G93" t="str">
            <v>OW</v>
          </cell>
        </row>
        <row r="94">
          <cell r="C94">
            <v>31064</v>
          </cell>
          <cell r="D94" t="str">
            <v>BUD LT269MLSHC15.</v>
          </cell>
          <cell r="E94" t="str">
            <v>BUDWEISER LT 269ML SH C 15</v>
          </cell>
          <cell r="F94" t="str">
            <v>CERVEJA</v>
          </cell>
          <cell r="G94" t="str">
            <v>OW</v>
          </cell>
        </row>
        <row r="95">
          <cell r="C95">
            <v>22180</v>
          </cell>
          <cell r="D95" t="str">
            <v>BUDZR LN330 SP SHRK4.</v>
          </cell>
          <cell r="E95" t="str">
            <v>BUDWEISER ZERO LONG NECK 330ML SIX-PACK SHRINK C/4</v>
          </cell>
          <cell r="F95" t="str">
            <v>CERVEJA</v>
          </cell>
          <cell r="G95" t="str">
            <v>OW</v>
          </cell>
        </row>
        <row r="96">
          <cell r="C96">
            <v>24168</v>
          </cell>
          <cell r="D96" t="str">
            <v>MICULTN LN330 SP SHR.</v>
          </cell>
          <cell r="E96" t="str">
            <v>MICHELOB ULTRA N LONG NECK 330ML SIX-PACK SHRINK C/4</v>
          </cell>
          <cell r="F96" t="str">
            <v>CERVEJA</v>
          </cell>
          <cell r="G96" t="str">
            <v>OW</v>
          </cell>
        </row>
        <row r="97">
          <cell r="C97">
            <v>21658</v>
          </cell>
          <cell r="D97" t="str">
            <v>SPTN LTSL350CXC12.</v>
          </cell>
          <cell r="E97" t="str">
            <v>SPATEN N LT SLEEK 350ML CX CART C 12</v>
          </cell>
          <cell r="F97" t="str">
            <v>CERVEJA</v>
          </cell>
          <cell r="G97" t="str">
            <v>OW</v>
          </cell>
        </row>
        <row r="98">
          <cell r="C98">
            <v>21668</v>
          </cell>
          <cell r="D98" t="str">
            <v>SPTN OW600CX12NPAR.</v>
          </cell>
          <cell r="E98" t="str">
            <v>SPATEN N ONE WAY 600ML CX C/12 NP ARTE</v>
          </cell>
          <cell r="F98" t="str">
            <v>CERVEJA</v>
          </cell>
          <cell r="G98" t="str">
            <v>RGB</v>
          </cell>
        </row>
        <row r="99">
          <cell r="C99">
            <v>13566</v>
          </cell>
          <cell r="D99" t="str">
            <v>SKBTSEN LT269CX8FP.</v>
          </cell>
          <cell r="E99" t="str">
            <v>SKOL BEATS SENSES LT 269ML CX C/8 FRIDGE PACK</v>
          </cell>
          <cell r="F99" t="str">
            <v>CERVEJA</v>
          </cell>
          <cell r="G99" t="str">
            <v>OW</v>
          </cell>
        </row>
        <row r="100">
          <cell r="C100">
            <v>23271</v>
          </cell>
          <cell r="D100" t="str">
            <v>SKBTSEN LN269SPSH4.</v>
          </cell>
          <cell r="E100" t="str">
            <v>SKOL BEATS SENSES LONG NECK 269ML SIX-PACK SH C/4</v>
          </cell>
          <cell r="F100" t="str">
            <v>CERVEJA</v>
          </cell>
          <cell r="G100" t="str">
            <v>OW</v>
          </cell>
        </row>
        <row r="101">
          <cell r="C101">
            <v>9093</v>
          </cell>
          <cell r="D101" t="str">
            <v>PEPSI TWIST LATA 350ML SH C/12 NPAL</v>
          </cell>
          <cell r="F101" t="str">
            <v>NAB</v>
          </cell>
          <cell r="G101" t="str">
            <v>SINGLE</v>
          </cell>
        </row>
        <row r="102">
          <cell r="C102">
            <v>34320</v>
          </cell>
          <cell r="D102" t="str">
            <v>GUARANA ANTARCTICA ZERO LATA 350ML SH C/12 NPAL MULTIPACK</v>
          </cell>
          <cell r="F102" t="str">
            <v>NAB</v>
          </cell>
          <cell r="G102" t="str">
            <v>SINGLE</v>
          </cell>
        </row>
        <row r="103">
          <cell r="C103">
            <v>19321</v>
          </cell>
          <cell r="D103" t="str">
            <v>GUARANA ANTARCTICA ZERO PET 200ML SH C/12</v>
          </cell>
          <cell r="F103" t="str">
            <v>NAB</v>
          </cell>
          <cell r="G103" t="str">
            <v>SINGLE</v>
          </cell>
        </row>
        <row r="104">
          <cell r="C104">
            <v>32067</v>
          </cell>
          <cell r="D104" t="str">
            <v>GATORADE BERRY BLUE PET 500ML SIXPACK</v>
          </cell>
          <cell r="F104" t="str">
            <v>NAB</v>
          </cell>
          <cell r="G104" t="str">
            <v>SINGLE</v>
          </cell>
        </row>
        <row r="105">
          <cell r="C105">
            <v>19225</v>
          </cell>
          <cell r="D105" t="str">
            <v>RED BULL BR LATA 250ML CX C 24 NPAL .</v>
          </cell>
          <cell r="F105" t="str">
            <v>NAB</v>
          </cell>
          <cell r="G105" t="str">
            <v>SINGLE</v>
          </cell>
        </row>
        <row r="106">
          <cell r="C106">
            <v>4409</v>
          </cell>
          <cell r="D106" t="str">
            <v>PEPSI TWIST PET 2L SHRINK C/6</v>
          </cell>
          <cell r="F106" t="str">
            <v>NAB</v>
          </cell>
          <cell r="G106" t="str">
            <v>MULTI</v>
          </cell>
        </row>
        <row r="107">
          <cell r="C107">
            <v>2354</v>
          </cell>
          <cell r="D107" t="str">
            <v>SODA LIMONADA ANTARCTICA DIET PET 2L CAIXA C/6</v>
          </cell>
          <cell r="F107" t="str">
            <v>NAB</v>
          </cell>
          <cell r="G107" t="str">
            <v>MULTI</v>
          </cell>
        </row>
        <row r="108">
          <cell r="C108">
            <v>9276</v>
          </cell>
          <cell r="D108" t="str">
            <v>PEPSI ZERO PET 2L CAIXA C/6</v>
          </cell>
          <cell r="F108" t="str">
            <v>NAB</v>
          </cell>
          <cell r="G108" t="str">
            <v>MULTI</v>
          </cell>
        </row>
        <row r="109">
          <cell r="C109">
            <v>9088</v>
          </cell>
          <cell r="D109" t="str">
            <v>SODA LIMONADA ANTARCTICA DIET LATA 350ML SH C/12 NPAL</v>
          </cell>
          <cell r="F109" t="str">
            <v>NAB</v>
          </cell>
          <cell r="G109" t="str">
            <v>SINGLE</v>
          </cell>
        </row>
        <row r="110">
          <cell r="C110">
            <v>7980</v>
          </cell>
          <cell r="D110" t="str">
            <v>GATORADE TANGERINA PET 500ML SIXPACK</v>
          </cell>
          <cell r="F110" t="str">
            <v>NAB</v>
          </cell>
          <cell r="G110" t="str">
            <v>SINGLE</v>
          </cell>
        </row>
        <row r="111">
          <cell r="C111">
            <v>21441</v>
          </cell>
          <cell r="D111" t="str">
            <v>SUKITA LIMAO PET 2L CAIXA C/6</v>
          </cell>
          <cell r="F111" t="str">
            <v>NAB</v>
          </cell>
          <cell r="G111" t="str">
            <v>MULTI</v>
          </cell>
        </row>
        <row r="112">
          <cell r="C112">
            <v>9092</v>
          </cell>
          <cell r="D112" t="str">
            <v>TONICA ANTARCTICA DIET LATA 350ML SH C/12 NPAL</v>
          </cell>
          <cell r="F112" t="str">
            <v>NAB</v>
          </cell>
          <cell r="G112" t="str">
            <v>SINGLE</v>
          </cell>
        </row>
        <row r="113">
          <cell r="C113">
            <v>25700</v>
          </cell>
          <cell r="D113" t="str">
            <v>FUSION PET 2L SHRINK C/6</v>
          </cell>
          <cell r="F113" t="str">
            <v>NAB</v>
          </cell>
          <cell r="G113" t="str">
            <v>MULTI</v>
          </cell>
        </row>
        <row r="114">
          <cell r="C114">
            <v>371</v>
          </cell>
          <cell r="D114" t="str">
            <v>MALZBIER BRAHMA LONG NECK 355ML SIX-PACK BANDEJA C/4</v>
          </cell>
          <cell r="F114" t="str">
            <v>CERVEJA</v>
          </cell>
          <cell r="G114" t="str">
            <v>OW</v>
          </cell>
        </row>
        <row r="115">
          <cell r="C115">
            <v>24306</v>
          </cell>
          <cell r="D115" t="str">
            <v>RED BULL MELANCIA LATA 250ML FOUR PACK NPAL</v>
          </cell>
          <cell r="F115" t="str">
            <v>MARKETPLACE</v>
          </cell>
        </row>
        <row r="116">
          <cell r="C116">
            <v>2350</v>
          </cell>
          <cell r="D116" t="str">
            <v>SODA LIMONADA ANTARCTICA PET 2L CAIXA C/6</v>
          </cell>
          <cell r="F116" t="str">
            <v>NAB</v>
          </cell>
          <cell r="G116" t="str">
            <v>MULTI</v>
          </cell>
        </row>
        <row r="117">
          <cell r="C117">
            <v>34027</v>
          </cell>
          <cell r="D117" t="str">
            <v>GUARANA CHP ANTARCTICA LATA 350ML SH C/12 NPAL MULTIPACK</v>
          </cell>
          <cell r="F117" t="str">
            <v>NAB</v>
          </cell>
          <cell r="G117" t="str">
            <v>SINGLE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65BEA-3F7A-4D6E-8399-48CDDFA08F40}">
  <sheetPr filterMode="1"/>
  <dimension ref="A1:D407"/>
  <sheetViews>
    <sheetView tabSelected="1" topLeftCell="A245" workbookViewId="0">
      <selection activeCell="B1" sqref="B1"/>
    </sheetView>
  </sheetViews>
  <sheetFormatPr defaultRowHeight="15" x14ac:dyDescent="0.25"/>
  <cols>
    <col min="2" max="2" width="13.42578125" bestFit="1" customWidth="1"/>
    <col min="3" max="3" width="72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>
        <v>11937</v>
      </c>
      <c r="B2" t="s">
        <v>4</v>
      </c>
      <c r="C2" t="s">
        <v>5</v>
      </c>
      <c r="D2" t="s">
        <v>6</v>
      </c>
    </row>
    <row r="3" spans="1:4" hidden="1" x14ac:dyDescent="0.25">
      <c r="A3">
        <v>12127</v>
      </c>
      <c r="B3" t="s">
        <v>4</v>
      </c>
      <c r="C3" t="s">
        <v>7</v>
      </c>
      <c r="D3" t="s">
        <v>6</v>
      </c>
    </row>
    <row r="4" spans="1:4" hidden="1" x14ac:dyDescent="0.25">
      <c r="A4">
        <v>17283</v>
      </c>
      <c r="B4" t="s">
        <v>4</v>
      </c>
      <c r="C4" t="s">
        <v>8</v>
      </c>
      <c r="D4" t="s">
        <v>6</v>
      </c>
    </row>
    <row r="5" spans="1:4" hidden="1" x14ac:dyDescent="0.25">
      <c r="A5">
        <v>1745</v>
      </c>
      <c r="B5" t="s">
        <v>4</v>
      </c>
      <c r="C5" t="s">
        <v>9</v>
      </c>
      <c r="D5" t="s">
        <v>6</v>
      </c>
    </row>
    <row r="6" spans="1:4" hidden="1" x14ac:dyDescent="0.25">
      <c r="A6">
        <v>21838</v>
      </c>
      <c r="B6" t="s">
        <v>4</v>
      </c>
      <c r="C6" t="s">
        <v>10</v>
      </c>
      <c r="D6" t="s">
        <v>6</v>
      </c>
    </row>
    <row r="7" spans="1:4" hidden="1" x14ac:dyDescent="0.25">
      <c r="A7">
        <v>22278</v>
      </c>
      <c r="B7" t="s">
        <v>4</v>
      </c>
      <c r="C7" t="s">
        <v>11</v>
      </c>
      <c r="D7" t="s">
        <v>6</v>
      </c>
    </row>
    <row r="8" spans="1:4" hidden="1" x14ac:dyDescent="0.25">
      <c r="A8">
        <v>9068</v>
      </c>
      <c r="B8" t="s">
        <v>4</v>
      </c>
      <c r="C8" t="s">
        <v>12</v>
      </c>
      <c r="D8" t="s">
        <v>6</v>
      </c>
    </row>
    <row r="9" spans="1:4" hidden="1" x14ac:dyDescent="0.25">
      <c r="A9">
        <v>12897</v>
      </c>
      <c r="B9" t="s">
        <v>4</v>
      </c>
      <c r="C9" t="s">
        <v>13</v>
      </c>
      <c r="D9" t="s">
        <v>6</v>
      </c>
    </row>
    <row r="10" spans="1:4" hidden="1" x14ac:dyDescent="0.25">
      <c r="A10">
        <v>13464</v>
      </c>
      <c r="B10" t="s">
        <v>4</v>
      </c>
      <c r="C10" t="s">
        <v>14</v>
      </c>
      <c r="D10" t="s">
        <v>6</v>
      </c>
    </row>
    <row r="11" spans="1:4" hidden="1" x14ac:dyDescent="0.25">
      <c r="A11">
        <v>16344</v>
      </c>
      <c r="B11" t="s">
        <v>4</v>
      </c>
      <c r="C11" t="s">
        <v>15</v>
      </c>
      <c r="D11" t="s">
        <v>6</v>
      </c>
    </row>
    <row r="12" spans="1:4" hidden="1" x14ac:dyDescent="0.25">
      <c r="A12">
        <v>19581</v>
      </c>
      <c r="B12" t="s">
        <v>4</v>
      </c>
      <c r="C12" t="s">
        <v>16</v>
      </c>
      <c r="D12" t="s">
        <v>6</v>
      </c>
    </row>
    <row r="13" spans="1:4" hidden="1" x14ac:dyDescent="0.25">
      <c r="A13">
        <v>19826</v>
      </c>
      <c r="B13" t="s">
        <v>4</v>
      </c>
      <c r="C13" t="s">
        <v>17</v>
      </c>
      <c r="D13" t="s">
        <v>6</v>
      </c>
    </row>
    <row r="14" spans="1:4" hidden="1" x14ac:dyDescent="0.25">
      <c r="A14">
        <v>20124</v>
      </c>
      <c r="B14" t="s">
        <v>4</v>
      </c>
      <c r="C14" t="s">
        <v>18</v>
      </c>
      <c r="D14" t="s">
        <v>6</v>
      </c>
    </row>
    <row r="15" spans="1:4" hidden="1" x14ac:dyDescent="0.25">
      <c r="A15">
        <v>14713</v>
      </c>
      <c r="B15" t="s">
        <v>4</v>
      </c>
      <c r="C15" t="s">
        <v>19</v>
      </c>
      <c r="D15" t="s">
        <v>6</v>
      </c>
    </row>
    <row r="16" spans="1:4" hidden="1" x14ac:dyDescent="0.25">
      <c r="A16">
        <v>23616</v>
      </c>
      <c r="B16" t="s">
        <v>4</v>
      </c>
      <c r="C16" t="s">
        <v>20</v>
      </c>
      <c r="D16" t="s">
        <v>6</v>
      </c>
    </row>
    <row r="17" spans="1:4" hidden="1" x14ac:dyDescent="0.25">
      <c r="A17">
        <v>25890</v>
      </c>
      <c r="B17" t="s">
        <v>4</v>
      </c>
      <c r="C17" t="s">
        <v>21</v>
      </c>
      <c r="D17" t="s">
        <v>6</v>
      </c>
    </row>
    <row r="18" spans="1:4" hidden="1" x14ac:dyDescent="0.25">
      <c r="A18">
        <v>3252</v>
      </c>
      <c r="B18" t="s">
        <v>4</v>
      </c>
      <c r="C18" t="s">
        <v>22</v>
      </c>
      <c r="D18" t="s">
        <v>6</v>
      </c>
    </row>
    <row r="19" spans="1:4" hidden="1" x14ac:dyDescent="0.25">
      <c r="A19">
        <v>11110</v>
      </c>
      <c r="B19" t="s">
        <v>4</v>
      </c>
      <c r="C19" t="s">
        <v>23</v>
      </c>
      <c r="D19" t="s">
        <v>6</v>
      </c>
    </row>
    <row r="20" spans="1:4" hidden="1" x14ac:dyDescent="0.25">
      <c r="A20">
        <v>11401</v>
      </c>
      <c r="B20" t="s">
        <v>4</v>
      </c>
      <c r="C20" t="s">
        <v>24</v>
      </c>
      <c r="D20" t="s">
        <v>6</v>
      </c>
    </row>
    <row r="21" spans="1:4" hidden="1" x14ac:dyDescent="0.25">
      <c r="A21">
        <v>12782</v>
      </c>
      <c r="B21" t="s">
        <v>4</v>
      </c>
      <c r="C21" t="s">
        <v>25</v>
      </c>
      <c r="D21" t="s">
        <v>6</v>
      </c>
    </row>
    <row r="22" spans="1:4" hidden="1" x14ac:dyDescent="0.25">
      <c r="A22">
        <v>15778</v>
      </c>
      <c r="B22" t="s">
        <v>4</v>
      </c>
      <c r="C22" t="s">
        <v>26</v>
      </c>
      <c r="D22" t="s">
        <v>6</v>
      </c>
    </row>
    <row r="23" spans="1:4" hidden="1" x14ac:dyDescent="0.25">
      <c r="A23">
        <v>16884</v>
      </c>
      <c r="B23" t="s">
        <v>4</v>
      </c>
      <c r="C23" t="s">
        <v>27</v>
      </c>
      <c r="D23" t="s">
        <v>6</v>
      </c>
    </row>
    <row r="24" spans="1:4" hidden="1" x14ac:dyDescent="0.25">
      <c r="A24">
        <v>17008</v>
      </c>
      <c r="B24" t="s">
        <v>4</v>
      </c>
      <c r="C24" t="s">
        <v>28</v>
      </c>
      <c r="D24" t="s">
        <v>6</v>
      </c>
    </row>
    <row r="25" spans="1:4" hidden="1" x14ac:dyDescent="0.25">
      <c r="A25">
        <v>22434</v>
      </c>
      <c r="B25" t="s">
        <v>4</v>
      </c>
      <c r="C25" t="s">
        <v>29</v>
      </c>
      <c r="D25" t="s">
        <v>6</v>
      </c>
    </row>
    <row r="26" spans="1:4" hidden="1" x14ac:dyDescent="0.25">
      <c r="A26">
        <v>22779</v>
      </c>
      <c r="B26" t="s">
        <v>4</v>
      </c>
      <c r="C26" t="s">
        <v>30</v>
      </c>
      <c r="D26" t="s">
        <v>6</v>
      </c>
    </row>
    <row r="27" spans="1:4" hidden="1" x14ac:dyDescent="0.25">
      <c r="A27">
        <v>4198</v>
      </c>
      <c r="B27" t="s">
        <v>4</v>
      </c>
      <c r="C27" t="s">
        <v>31</v>
      </c>
      <c r="D27" t="s">
        <v>6</v>
      </c>
    </row>
    <row r="28" spans="1:4" hidden="1" x14ac:dyDescent="0.25">
      <c r="A28">
        <v>17636</v>
      </c>
      <c r="B28" t="s">
        <v>32</v>
      </c>
      <c r="C28" t="s">
        <v>33</v>
      </c>
      <c r="D28" t="s">
        <v>6</v>
      </c>
    </row>
    <row r="29" spans="1:4" hidden="1" x14ac:dyDescent="0.25">
      <c r="A29">
        <v>19415</v>
      </c>
      <c r="B29" t="s">
        <v>4</v>
      </c>
      <c r="C29" t="s">
        <v>34</v>
      </c>
      <c r="D29" t="s">
        <v>6</v>
      </c>
    </row>
    <row r="30" spans="1:4" hidden="1" x14ac:dyDescent="0.25">
      <c r="A30">
        <v>19799</v>
      </c>
      <c r="B30" t="s">
        <v>4</v>
      </c>
      <c r="C30" t="s">
        <v>35</v>
      </c>
      <c r="D30" t="s">
        <v>6</v>
      </c>
    </row>
    <row r="31" spans="1:4" hidden="1" x14ac:dyDescent="0.25">
      <c r="A31">
        <v>20232</v>
      </c>
      <c r="B31" t="s">
        <v>4</v>
      </c>
      <c r="C31" t="s">
        <v>36</v>
      </c>
      <c r="D31" t="s">
        <v>6</v>
      </c>
    </row>
    <row r="32" spans="1:4" hidden="1" x14ac:dyDescent="0.25">
      <c r="A32">
        <v>20581</v>
      </c>
      <c r="B32" t="s">
        <v>4</v>
      </c>
      <c r="C32" t="s">
        <v>37</v>
      </c>
      <c r="D32" t="s">
        <v>6</v>
      </c>
    </row>
    <row r="33" spans="1:4" hidden="1" x14ac:dyDescent="0.25">
      <c r="A33">
        <v>22245</v>
      </c>
      <c r="B33" t="s">
        <v>4</v>
      </c>
      <c r="C33" t="s">
        <v>38</v>
      </c>
      <c r="D33" t="s">
        <v>6</v>
      </c>
    </row>
    <row r="34" spans="1:4" hidden="1" x14ac:dyDescent="0.25">
      <c r="A34">
        <v>22324</v>
      </c>
      <c r="B34" t="s">
        <v>4</v>
      </c>
      <c r="C34" t="s">
        <v>39</v>
      </c>
      <c r="D34" t="s">
        <v>6</v>
      </c>
    </row>
    <row r="35" spans="1:4" hidden="1" x14ac:dyDescent="0.25">
      <c r="A35">
        <v>13267</v>
      </c>
      <c r="B35" t="s">
        <v>4</v>
      </c>
      <c r="C35" t="s">
        <v>40</v>
      </c>
      <c r="D35" t="s">
        <v>6</v>
      </c>
    </row>
    <row r="36" spans="1:4" hidden="1" x14ac:dyDescent="0.25">
      <c r="A36">
        <v>17362</v>
      </c>
      <c r="B36" t="s">
        <v>4</v>
      </c>
      <c r="C36" t="s">
        <v>41</v>
      </c>
      <c r="D36" t="s">
        <v>6</v>
      </c>
    </row>
    <row r="37" spans="1:4" hidden="1" x14ac:dyDescent="0.25">
      <c r="A37">
        <v>21389</v>
      </c>
      <c r="B37" t="s">
        <v>32</v>
      </c>
      <c r="C37" t="s">
        <v>42</v>
      </c>
      <c r="D37" t="s">
        <v>6</v>
      </c>
    </row>
    <row r="38" spans="1:4" hidden="1" x14ac:dyDescent="0.25">
      <c r="A38">
        <v>21827</v>
      </c>
      <c r="B38" t="s">
        <v>4</v>
      </c>
      <c r="C38" t="s">
        <v>43</v>
      </c>
      <c r="D38" t="s">
        <v>6</v>
      </c>
    </row>
    <row r="39" spans="1:4" hidden="1" x14ac:dyDescent="0.25">
      <c r="A39">
        <v>10404</v>
      </c>
      <c r="B39" t="s">
        <v>4</v>
      </c>
      <c r="C39" t="s">
        <v>44</v>
      </c>
      <c r="D39" t="s">
        <v>6</v>
      </c>
    </row>
    <row r="40" spans="1:4" hidden="1" x14ac:dyDescent="0.25">
      <c r="A40">
        <v>14674</v>
      </c>
      <c r="B40" t="s">
        <v>32</v>
      </c>
      <c r="C40" t="s">
        <v>45</v>
      </c>
      <c r="D40" t="s">
        <v>6</v>
      </c>
    </row>
    <row r="41" spans="1:4" hidden="1" x14ac:dyDescent="0.25">
      <c r="A41">
        <v>14836</v>
      </c>
      <c r="B41" t="s">
        <v>4</v>
      </c>
      <c r="C41" t="s">
        <v>46</v>
      </c>
      <c r="D41" t="s">
        <v>6</v>
      </c>
    </row>
    <row r="42" spans="1:4" hidden="1" x14ac:dyDescent="0.25">
      <c r="A42">
        <v>15123</v>
      </c>
      <c r="B42" t="s">
        <v>4</v>
      </c>
      <c r="C42" t="s">
        <v>47</v>
      </c>
      <c r="D42" t="s">
        <v>6</v>
      </c>
    </row>
    <row r="43" spans="1:4" hidden="1" x14ac:dyDescent="0.25">
      <c r="A43">
        <v>17444</v>
      </c>
      <c r="B43" t="s">
        <v>4</v>
      </c>
      <c r="C43" t="s">
        <v>48</v>
      </c>
      <c r="D43" t="s">
        <v>6</v>
      </c>
    </row>
    <row r="44" spans="1:4" hidden="1" x14ac:dyDescent="0.25">
      <c r="A44">
        <v>21735</v>
      </c>
      <c r="B44" t="s">
        <v>32</v>
      </c>
      <c r="C44" t="s">
        <v>49</v>
      </c>
      <c r="D44" t="s">
        <v>6</v>
      </c>
    </row>
    <row r="45" spans="1:4" hidden="1" x14ac:dyDescent="0.25">
      <c r="A45">
        <v>1143</v>
      </c>
      <c r="B45" t="s">
        <v>4</v>
      </c>
      <c r="C45" t="s">
        <v>50</v>
      </c>
      <c r="D45" t="s">
        <v>6</v>
      </c>
    </row>
    <row r="46" spans="1:4" hidden="1" x14ac:dyDescent="0.25">
      <c r="A46">
        <v>13404</v>
      </c>
      <c r="B46" t="s">
        <v>4</v>
      </c>
      <c r="C46" t="s">
        <v>51</v>
      </c>
      <c r="D46" t="s">
        <v>6</v>
      </c>
    </row>
    <row r="47" spans="1:4" hidden="1" x14ac:dyDescent="0.25">
      <c r="A47">
        <v>16083</v>
      </c>
      <c r="B47" t="s">
        <v>4</v>
      </c>
      <c r="C47" t="s">
        <v>52</v>
      </c>
      <c r="D47" t="s">
        <v>6</v>
      </c>
    </row>
    <row r="48" spans="1:4" hidden="1" x14ac:dyDescent="0.25">
      <c r="A48">
        <v>20891</v>
      </c>
      <c r="B48" t="s">
        <v>4</v>
      </c>
      <c r="C48" t="s">
        <v>53</v>
      </c>
      <c r="D48" t="s">
        <v>6</v>
      </c>
    </row>
    <row r="49" spans="1:4" hidden="1" x14ac:dyDescent="0.25">
      <c r="A49">
        <v>21912</v>
      </c>
      <c r="B49" t="s">
        <v>4</v>
      </c>
      <c r="C49" t="s">
        <v>54</v>
      </c>
      <c r="D49" t="s">
        <v>6</v>
      </c>
    </row>
    <row r="50" spans="1:4" hidden="1" x14ac:dyDescent="0.25">
      <c r="A50">
        <v>8775</v>
      </c>
      <c r="B50" t="s">
        <v>4</v>
      </c>
      <c r="C50" t="s">
        <v>55</v>
      </c>
      <c r="D50" t="s">
        <v>6</v>
      </c>
    </row>
    <row r="51" spans="1:4" hidden="1" x14ac:dyDescent="0.25">
      <c r="A51">
        <v>11790</v>
      </c>
      <c r="B51" t="s">
        <v>4</v>
      </c>
      <c r="C51" t="s">
        <v>56</v>
      </c>
      <c r="D51" t="s">
        <v>6</v>
      </c>
    </row>
    <row r="52" spans="1:4" hidden="1" x14ac:dyDescent="0.25">
      <c r="A52">
        <v>17037</v>
      </c>
      <c r="B52" t="s">
        <v>4</v>
      </c>
      <c r="C52" t="s">
        <v>57</v>
      </c>
      <c r="D52" t="s">
        <v>6</v>
      </c>
    </row>
    <row r="53" spans="1:4" hidden="1" x14ac:dyDescent="0.25">
      <c r="A53">
        <v>21356</v>
      </c>
      <c r="B53" t="s">
        <v>4</v>
      </c>
      <c r="C53" t="s">
        <v>58</v>
      </c>
      <c r="D53" t="s">
        <v>6</v>
      </c>
    </row>
    <row r="54" spans="1:4" hidden="1" x14ac:dyDescent="0.25">
      <c r="A54">
        <v>9073</v>
      </c>
      <c r="B54" t="s">
        <v>4</v>
      </c>
      <c r="C54" t="s">
        <v>59</v>
      </c>
      <c r="D54" t="s">
        <v>6</v>
      </c>
    </row>
    <row r="55" spans="1:4" hidden="1" x14ac:dyDescent="0.25">
      <c r="A55">
        <v>10280</v>
      </c>
      <c r="B55" t="s">
        <v>4</v>
      </c>
      <c r="C55" t="s">
        <v>60</v>
      </c>
      <c r="D55" t="s">
        <v>61</v>
      </c>
    </row>
    <row r="56" spans="1:4" hidden="1" x14ac:dyDescent="0.25">
      <c r="A56">
        <v>10307</v>
      </c>
      <c r="B56" t="s">
        <v>4</v>
      </c>
      <c r="C56" t="s">
        <v>62</v>
      </c>
      <c r="D56" t="s">
        <v>61</v>
      </c>
    </row>
    <row r="57" spans="1:4" hidden="1" x14ac:dyDescent="0.25">
      <c r="A57">
        <v>1694</v>
      </c>
      <c r="B57" t="s">
        <v>4</v>
      </c>
      <c r="C57" t="s">
        <v>63</v>
      </c>
      <c r="D57" t="s">
        <v>61</v>
      </c>
    </row>
    <row r="58" spans="1:4" hidden="1" x14ac:dyDescent="0.25">
      <c r="A58">
        <v>29974</v>
      </c>
      <c r="B58" t="s">
        <v>32</v>
      </c>
      <c r="C58" t="s">
        <v>64</v>
      </c>
      <c r="D58" t="s">
        <v>6</v>
      </c>
    </row>
    <row r="59" spans="1:4" hidden="1" x14ac:dyDescent="0.25">
      <c r="A59">
        <v>14074</v>
      </c>
      <c r="B59" t="s">
        <v>4</v>
      </c>
      <c r="C59" t="s">
        <v>65</v>
      </c>
      <c r="D59" t="s">
        <v>61</v>
      </c>
    </row>
    <row r="60" spans="1:4" hidden="1" x14ac:dyDescent="0.25">
      <c r="A60">
        <v>22369</v>
      </c>
      <c r="B60" t="s">
        <v>4</v>
      </c>
      <c r="C60" t="s">
        <v>66</v>
      </c>
      <c r="D60" t="s">
        <v>61</v>
      </c>
    </row>
    <row r="61" spans="1:4" hidden="1" x14ac:dyDescent="0.25">
      <c r="A61">
        <v>18245</v>
      </c>
      <c r="B61" t="s">
        <v>4</v>
      </c>
      <c r="C61" t="s">
        <v>67</v>
      </c>
      <c r="D61" t="s">
        <v>61</v>
      </c>
    </row>
    <row r="62" spans="1:4" hidden="1" x14ac:dyDescent="0.25">
      <c r="A62">
        <v>19548</v>
      </c>
      <c r="B62" t="s">
        <v>4</v>
      </c>
      <c r="C62" t="s">
        <v>68</v>
      </c>
      <c r="D62" t="s">
        <v>61</v>
      </c>
    </row>
    <row r="63" spans="1:4" hidden="1" x14ac:dyDescent="0.25">
      <c r="A63">
        <v>21576</v>
      </c>
      <c r="B63" t="s">
        <v>4</v>
      </c>
      <c r="C63" t="s">
        <v>69</v>
      </c>
      <c r="D63" t="s">
        <v>61</v>
      </c>
    </row>
    <row r="64" spans="1:4" hidden="1" x14ac:dyDescent="0.25">
      <c r="A64">
        <v>21632</v>
      </c>
      <c r="B64" t="s">
        <v>4</v>
      </c>
      <c r="C64" t="s">
        <v>70</v>
      </c>
      <c r="D64" t="str">
        <f>VLOOKUP(A64,'[1]PRODUTOS E CESTAS'!$C:$G,5,0)</f>
        <v>OW</v>
      </c>
    </row>
    <row r="65" spans="1:4" hidden="1" x14ac:dyDescent="0.25">
      <c r="A65">
        <v>24377</v>
      </c>
      <c r="B65" t="s">
        <v>32</v>
      </c>
      <c r="C65" t="s">
        <v>71</v>
      </c>
      <c r="D65" t="s">
        <v>6</v>
      </c>
    </row>
    <row r="66" spans="1:4" hidden="1" x14ac:dyDescent="0.25">
      <c r="A66">
        <v>29476</v>
      </c>
      <c r="B66" t="s">
        <v>4</v>
      </c>
      <c r="C66" t="s">
        <v>72</v>
      </c>
      <c r="D66" t="s">
        <v>61</v>
      </c>
    </row>
    <row r="67" spans="1:4" hidden="1" x14ac:dyDescent="0.25">
      <c r="A67">
        <v>8454</v>
      </c>
      <c r="B67" t="s">
        <v>4</v>
      </c>
      <c r="C67" t="s">
        <v>73</v>
      </c>
      <c r="D67" t="s">
        <v>6</v>
      </c>
    </row>
    <row r="68" spans="1:4" hidden="1" x14ac:dyDescent="0.25">
      <c r="A68">
        <v>9805</v>
      </c>
      <c r="B68" t="s">
        <v>4</v>
      </c>
      <c r="C68" t="s">
        <v>74</v>
      </c>
      <c r="D68" t="s">
        <v>6</v>
      </c>
    </row>
    <row r="69" spans="1:4" hidden="1" x14ac:dyDescent="0.25">
      <c r="A69">
        <v>10212</v>
      </c>
      <c r="B69" t="s">
        <v>4</v>
      </c>
      <c r="C69" t="s">
        <v>75</v>
      </c>
      <c r="D69" t="s">
        <v>6</v>
      </c>
    </row>
    <row r="70" spans="1:4" hidden="1" x14ac:dyDescent="0.25">
      <c r="A70">
        <v>16120</v>
      </c>
      <c r="B70" t="s">
        <v>4</v>
      </c>
      <c r="C70" t="s">
        <v>76</v>
      </c>
      <c r="D70" t="s">
        <v>6</v>
      </c>
    </row>
    <row r="71" spans="1:4" hidden="1" x14ac:dyDescent="0.25">
      <c r="A71">
        <v>20851</v>
      </c>
      <c r="B71" t="s">
        <v>4</v>
      </c>
      <c r="C71" t="s">
        <v>77</v>
      </c>
      <c r="D71" t="s">
        <v>6</v>
      </c>
    </row>
    <row r="72" spans="1:4" hidden="1" x14ac:dyDescent="0.25">
      <c r="A72">
        <v>21656</v>
      </c>
      <c r="B72" t="s">
        <v>4</v>
      </c>
      <c r="C72" t="s">
        <v>78</v>
      </c>
      <c r="D72" t="s">
        <v>6</v>
      </c>
    </row>
    <row r="73" spans="1:4" hidden="1" x14ac:dyDescent="0.25">
      <c r="A73">
        <v>373</v>
      </c>
      <c r="B73" t="s">
        <v>4</v>
      </c>
      <c r="C73" t="s">
        <v>79</v>
      </c>
      <c r="D73" t="s">
        <v>6</v>
      </c>
    </row>
    <row r="74" spans="1:4" hidden="1" x14ac:dyDescent="0.25">
      <c r="A74">
        <v>10537</v>
      </c>
      <c r="B74" t="s">
        <v>4</v>
      </c>
      <c r="C74" t="s">
        <v>80</v>
      </c>
      <c r="D74" t="s">
        <v>61</v>
      </c>
    </row>
    <row r="75" spans="1:4" hidden="1" x14ac:dyDescent="0.25">
      <c r="A75">
        <v>12832</v>
      </c>
      <c r="B75" t="s">
        <v>4</v>
      </c>
      <c r="C75" t="s">
        <v>81</v>
      </c>
      <c r="D75" t="s">
        <v>6</v>
      </c>
    </row>
    <row r="76" spans="1:4" hidden="1" x14ac:dyDescent="0.25">
      <c r="A76">
        <v>12881</v>
      </c>
      <c r="B76" t="s">
        <v>4</v>
      </c>
      <c r="C76" t="s">
        <v>82</v>
      </c>
      <c r="D76" t="s">
        <v>6</v>
      </c>
    </row>
    <row r="77" spans="1:4" hidden="1" x14ac:dyDescent="0.25">
      <c r="A77">
        <v>13078</v>
      </c>
      <c r="B77" t="s">
        <v>4</v>
      </c>
      <c r="C77" t="s">
        <v>83</v>
      </c>
      <c r="D77" t="s">
        <v>6</v>
      </c>
    </row>
    <row r="78" spans="1:4" hidden="1" x14ac:dyDescent="0.25">
      <c r="A78">
        <v>17678</v>
      </c>
      <c r="B78" t="s">
        <v>4</v>
      </c>
      <c r="C78" t="s">
        <v>84</v>
      </c>
      <c r="D78" t="s">
        <v>6</v>
      </c>
    </row>
    <row r="79" spans="1:4" hidden="1" x14ac:dyDescent="0.25">
      <c r="A79">
        <v>18816</v>
      </c>
      <c r="B79" t="s">
        <v>4</v>
      </c>
      <c r="C79" t="s">
        <v>85</v>
      </c>
      <c r="D79" t="s">
        <v>6</v>
      </c>
    </row>
    <row r="80" spans="1:4" hidden="1" x14ac:dyDescent="0.25">
      <c r="A80">
        <v>20242</v>
      </c>
      <c r="B80" t="s">
        <v>4</v>
      </c>
      <c r="C80" t="s">
        <v>86</v>
      </c>
      <c r="D80" t="s">
        <v>6</v>
      </c>
    </row>
    <row r="81" spans="1:4" hidden="1" x14ac:dyDescent="0.25">
      <c r="A81">
        <v>22180</v>
      </c>
      <c r="B81" t="s">
        <v>4</v>
      </c>
      <c r="C81" t="s">
        <v>87</v>
      </c>
      <c r="D81" t="s">
        <v>6</v>
      </c>
    </row>
    <row r="82" spans="1:4" hidden="1" x14ac:dyDescent="0.25">
      <c r="A82">
        <v>9807</v>
      </c>
      <c r="B82" t="s">
        <v>4</v>
      </c>
      <c r="C82" t="s">
        <v>88</v>
      </c>
      <c r="D82" t="s">
        <v>6</v>
      </c>
    </row>
    <row r="83" spans="1:4" hidden="1" x14ac:dyDescent="0.25">
      <c r="A83">
        <v>11251</v>
      </c>
      <c r="B83" t="s">
        <v>4</v>
      </c>
      <c r="C83" t="s">
        <v>89</v>
      </c>
      <c r="D83" t="s">
        <v>6</v>
      </c>
    </row>
    <row r="84" spans="1:4" hidden="1" x14ac:dyDescent="0.25">
      <c r="A84">
        <v>1402</v>
      </c>
      <c r="B84" t="s">
        <v>4</v>
      </c>
      <c r="C84" t="s">
        <v>90</v>
      </c>
      <c r="D84" t="s">
        <v>6</v>
      </c>
    </row>
    <row r="85" spans="1:4" hidden="1" x14ac:dyDescent="0.25">
      <c r="A85">
        <v>14532</v>
      </c>
      <c r="B85" t="s">
        <v>4</v>
      </c>
      <c r="C85" t="s">
        <v>91</v>
      </c>
      <c r="D85" t="s">
        <v>6</v>
      </c>
    </row>
    <row r="86" spans="1:4" hidden="1" x14ac:dyDescent="0.25">
      <c r="A86">
        <v>17196</v>
      </c>
      <c r="B86" t="s">
        <v>4</v>
      </c>
      <c r="C86" t="s">
        <v>92</v>
      </c>
      <c r="D86" t="s">
        <v>6</v>
      </c>
    </row>
    <row r="87" spans="1:4" hidden="1" x14ac:dyDescent="0.25">
      <c r="A87">
        <v>17202</v>
      </c>
      <c r="B87" t="s">
        <v>4</v>
      </c>
      <c r="C87" t="s">
        <v>93</v>
      </c>
      <c r="D87" t="s">
        <v>6</v>
      </c>
    </row>
    <row r="88" spans="1:4" hidden="1" x14ac:dyDescent="0.25">
      <c r="A88">
        <v>20597</v>
      </c>
      <c r="B88" t="s">
        <v>4</v>
      </c>
      <c r="C88" t="s">
        <v>94</v>
      </c>
      <c r="D88" t="s">
        <v>6</v>
      </c>
    </row>
    <row r="89" spans="1:4" hidden="1" x14ac:dyDescent="0.25">
      <c r="A89">
        <v>20863</v>
      </c>
      <c r="B89" t="s">
        <v>4</v>
      </c>
      <c r="C89" t="s">
        <v>95</v>
      </c>
      <c r="D89" t="s">
        <v>6</v>
      </c>
    </row>
    <row r="90" spans="1:4" hidden="1" x14ac:dyDescent="0.25">
      <c r="A90">
        <v>21928</v>
      </c>
      <c r="B90" t="s">
        <v>4</v>
      </c>
      <c r="C90" t="s">
        <v>96</v>
      </c>
      <c r="D90" t="s">
        <v>6</v>
      </c>
    </row>
    <row r="91" spans="1:4" hidden="1" x14ac:dyDescent="0.25">
      <c r="A91">
        <v>21946</v>
      </c>
      <c r="B91" t="s">
        <v>4</v>
      </c>
      <c r="C91" t="s">
        <v>97</v>
      </c>
      <c r="D91" t="s">
        <v>6</v>
      </c>
    </row>
    <row r="92" spans="1:4" hidden="1" x14ac:dyDescent="0.25">
      <c r="A92">
        <v>883</v>
      </c>
      <c r="B92" t="s">
        <v>4</v>
      </c>
      <c r="C92" t="s">
        <v>98</v>
      </c>
      <c r="D92" t="s">
        <v>6</v>
      </c>
    </row>
    <row r="93" spans="1:4" hidden="1" x14ac:dyDescent="0.25">
      <c r="A93">
        <v>9886</v>
      </c>
      <c r="B93" t="s">
        <v>4</v>
      </c>
      <c r="C93" t="s">
        <v>99</v>
      </c>
      <c r="D93" t="s">
        <v>6</v>
      </c>
    </row>
    <row r="94" spans="1:4" hidden="1" x14ac:dyDescent="0.25">
      <c r="A94">
        <v>11592</v>
      </c>
      <c r="B94" t="s">
        <v>4</v>
      </c>
      <c r="C94" t="s">
        <v>100</v>
      </c>
      <c r="D94" t="s">
        <v>6</v>
      </c>
    </row>
    <row r="95" spans="1:4" hidden="1" x14ac:dyDescent="0.25">
      <c r="A95">
        <v>14554</v>
      </c>
      <c r="B95" t="s">
        <v>4</v>
      </c>
      <c r="C95" t="s">
        <v>101</v>
      </c>
      <c r="D95" t="s">
        <v>6</v>
      </c>
    </row>
    <row r="96" spans="1:4" hidden="1" x14ac:dyDescent="0.25">
      <c r="A96">
        <v>18278</v>
      </c>
      <c r="B96" t="s">
        <v>4</v>
      </c>
      <c r="C96" t="s">
        <v>102</v>
      </c>
      <c r="D96" t="s">
        <v>6</v>
      </c>
    </row>
    <row r="97" spans="1:4" hidden="1" x14ac:dyDescent="0.25">
      <c r="A97">
        <v>18506</v>
      </c>
      <c r="B97" t="s">
        <v>4</v>
      </c>
      <c r="C97" t="s">
        <v>103</v>
      </c>
      <c r="D97" t="s">
        <v>6</v>
      </c>
    </row>
    <row r="98" spans="1:4" hidden="1" x14ac:dyDescent="0.25">
      <c r="A98">
        <v>20393</v>
      </c>
      <c r="B98" t="s">
        <v>4</v>
      </c>
      <c r="C98" t="s">
        <v>104</v>
      </c>
      <c r="D98" t="s">
        <v>6</v>
      </c>
    </row>
    <row r="99" spans="1:4" hidden="1" x14ac:dyDescent="0.25">
      <c r="A99">
        <v>292</v>
      </c>
      <c r="B99" t="s">
        <v>4</v>
      </c>
      <c r="C99" t="s">
        <v>105</v>
      </c>
      <c r="D99" t="s">
        <v>6</v>
      </c>
    </row>
    <row r="100" spans="1:4" hidden="1" x14ac:dyDescent="0.25">
      <c r="A100">
        <v>29703</v>
      </c>
      <c r="B100" t="s">
        <v>4</v>
      </c>
      <c r="C100" t="s">
        <v>106</v>
      </c>
      <c r="D100" t="s">
        <v>6</v>
      </c>
    </row>
    <row r="101" spans="1:4" hidden="1" x14ac:dyDescent="0.25">
      <c r="A101">
        <v>3251</v>
      </c>
      <c r="B101" t="s">
        <v>4</v>
      </c>
      <c r="C101" t="s">
        <v>107</v>
      </c>
      <c r="D101" t="s">
        <v>6</v>
      </c>
    </row>
    <row r="102" spans="1:4" hidden="1" x14ac:dyDescent="0.25">
      <c r="A102">
        <v>11559</v>
      </c>
      <c r="B102" t="s">
        <v>4</v>
      </c>
      <c r="C102" t="s">
        <v>108</v>
      </c>
      <c r="D102" t="s">
        <v>6</v>
      </c>
    </row>
    <row r="103" spans="1:4" hidden="1" x14ac:dyDescent="0.25">
      <c r="A103">
        <v>13053</v>
      </c>
      <c r="B103" t="s">
        <v>4</v>
      </c>
      <c r="C103" t="s">
        <v>109</v>
      </c>
      <c r="D103" t="s">
        <v>6</v>
      </c>
    </row>
    <row r="104" spans="1:4" hidden="1" x14ac:dyDescent="0.25">
      <c r="A104">
        <v>14548</v>
      </c>
      <c r="B104" t="s">
        <v>4</v>
      </c>
      <c r="C104" t="s">
        <v>110</v>
      </c>
      <c r="D104" t="s">
        <v>6</v>
      </c>
    </row>
    <row r="105" spans="1:4" hidden="1" x14ac:dyDescent="0.25">
      <c r="A105">
        <v>15132</v>
      </c>
      <c r="B105" t="s">
        <v>32</v>
      </c>
      <c r="C105" t="s">
        <v>111</v>
      </c>
      <c r="D105" t="s">
        <v>6</v>
      </c>
    </row>
    <row r="106" spans="1:4" hidden="1" x14ac:dyDescent="0.25">
      <c r="A106">
        <v>2196</v>
      </c>
      <c r="B106" t="s">
        <v>4</v>
      </c>
      <c r="C106" t="s">
        <v>112</v>
      </c>
      <c r="D106" t="s">
        <v>6</v>
      </c>
    </row>
    <row r="107" spans="1:4" hidden="1" x14ac:dyDescent="0.25">
      <c r="A107">
        <v>22769</v>
      </c>
      <c r="B107" t="s">
        <v>4</v>
      </c>
      <c r="C107" t="s">
        <v>113</v>
      </c>
      <c r="D107" t="s">
        <v>6</v>
      </c>
    </row>
    <row r="108" spans="1:4" hidden="1" x14ac:dyDescent="0.25">
      <c r="A108">
        <v>13446</v>
      </c>
      <c r="B108" t="s">
        <v>4</v>
      </c>
      <c r="C108" t="s">
        <v>114</v>
      </c>
      <c r="D108" t="s">
        <v>6</v>
      </c>
    </row>
    <row r="109" spans="1:4" hidden="1" x14ac:dyDescent="0.25">
      <c r="A109">
        <v>20187</v>
      </c>
      <c r="B109" t="s">
        <v>32</v>
      </c>
      <c r="C109" t="s">
        <v>115</v>
      </c>
      <c r="D109" t="s">
        <v>6</v>
      </c>
    </row>
    <row r="110" spans="1:4" hidden="1" x14ac:dyDescent="0.25">
      <c r="A110">
        <v>23192</v>
      </c>
      <c r="B110" t="s">
        <v>32</v>
      </c>
      <c r="C110" t="s">
        <v>116</v>
      </c>
      <c r="D110" t="s">
        <v>6</v>
      </c>
    </row>
    <row r="111" spans="1:4" hidden="1" x14ac:dyDescent="0.25">
      <c r="A111">
        <v>1730</v>
      </c>
      <c r="B111" t="s">
        <v>32</v>
      </c>
      <c r="C111" t="s">
        <v>117</v>
      </c>
      <c r="D111" t="s">
        <v>6</v>
      </c>
    </row>
    <row r="112" spans="1:4" hidden="1" x14ac:dyDescent="0.25">
      <c r="A112">
        <v>27866</v>
      </c>
      <c r="B112" t="s">
        <v>4</v>
      </c>
      <c r="C112" t="s">
        <v>118</v>
      </c>
      <c r="D112" t="str">
        <f>VLOOKUP(A112,'[1]PRODUTOS E CESTAS'!$C:$G,5,0)</f>
        <v>OW</v>
      </c>
    </row>
    <row r="113" spans="1:4" hidden="1" x14ac:dyDescent="0.25">
      <c r="A113">
        <v>32500</v>
      </c>
      <c r="B113" t="s">
        <v>4</v>
      </c>
      <c r="C113" t="s">
        <v>119</v>
      </c>
      <c r="D113" t="s">
        <v>6</v>
      </c>
    </row>
    <row r="114" spans="1:4" hidden="1" x14ac:dyDescent="0.25">
      <c r="A114">
        <v>23076</v>
      </c>
      <c r="B114" t="s">
        <v>32</v>
      </c>
      <c r="C114" t="s">
        <v>332</v>
      </c>
      <c r="D114" t="s">
        <v>6</v>
      </c>
    </row>
    <row r="115" spans="1:4" hidden="1" x14ac:dyDescent="0.25">
      <c r="A115">
        <v>31064</v>
      </c>
      <c r="B115" t="s">
        <v>4</v>
      </c>
      <c r="C115" t="s">
        <v>120</v>
      </c>
      <c r="D115" t="str">
        <f>VLOOKUP(A115,'[1]PRODUTOS E CESTAS'!$C:$G,5,0)</f>
        <v>OW</v>
      </c>
    </row>
    <row r="116" spans="1:4" hidden="1" x14ac:dyDescent="0.25">
      <c r="A116">
        <v>24168</v>
      </c>
      <c r="B116" t="s">
        <v>4</v>
      </c>
      <c r="C116" t="s">
        <v>121</v>
      </c>
      <c r="D116" t="str">
        <f>VLOOKUP(A116,'[1]PRODUTOS E CESTAS'!$C:$G,5,0)</f>
        <v>OW</v>
      </c>
    </row>
    <row r="117" spans="1:4" hidden="1" x14ac:dyDescent="0.25">
      <c r="A117">
        <v>19729</v>
      </c>
      <c r="B117" t="s">
        <v>4</v>
      </c>
      <c r="C117" t="s">
        <v>122</v>
      </c>
      <c r="D117" t="str">
        <f>VLOOKUP(A117,'[1]PRODUTOS E CESTAS'!$C:$G,5,0)</f>
        <v>OW</v>
      </c>
    </row>
    <row r="118" spans="1:4" hidden="1" x14ac:dyDescent="0.25">
      <c r="A118">
        <v>9071</v>
      </c>
      <c r="B118" t="s">
        <v>4</v>
      </c>
      <c r="C118" t="s">
        <v>123</v>
      </c>
      <c r="D118" t="s">
        <v>6</v>
      </c>
    </row>
    <row r="119" spans="1:4" hidden="1" x14ac:dyDescent="0.25">
      <c r="A119">
        <v>13566</v>
      </c>
      <c r="B119" t="s">
        <v>32</v>
      </c>
      <c r="C119" t="s">
        <v>124</v>
      </c>
      <c r="D119" t="s">
        <v>6</v>
      </c>
    </row>
    <row r="120" spans="1:4" hidden="1" x14ac:dyDescent="0.25">
      <c r="A120">
        <v>29485</v>
      </c>
      <c r="B120" t="s">
        <v>32</v>
      </c>
      <c r="C120" t="s">
        <v>125</v>
      </c>
      <c r="D120" t="s">
        <v>6</v>
      </c>
    </row>
    <row r="121" spans="1:4" hidden="1" x14ac:dyDescent="0.25">
      <c r="A121">
        <v>9072</v>
      </c>
      <c r="B121" t="s">
        <v>4</v>
      </c>
      <c r="C121" t="s">
        <v>126</v>
      </c>
      <c r="D121" t="str">
        <f>VLOOKUP(A121,'[1]PRODUTOS E CESTAS'!$C:$G,5,0)</f>
        <v>OW</v>
      </c>
    </row>
    <row r="122" spans="1:4" hidden="1" x14ac:dyDescent="0.25">
      <c r="A122">
        <v>12989</v>
      </c>
      <c r="B122" t="s">
        <v>4</v>
      </c>
      <c r="C122" t="s">
        <v>127</v>
      </c>
      <c r="D122" t="s">
        <v>6</v>
      </c>
    </row>
    <row r="123" spans="1:4" hidden="1" x14ac:dyDescent="0.25">
      <c r="A123">
        <v>982</v>
      </c>
      <c r="B123" t="s">
        <v>4</v>
      </c>
      <c r="C123" t="s">
        <v>128</v>
      </c>
      <c r="D123" t="str">
        <f>VLOOKUP(A123,'[1]PRODUTOS E CESTAS'!$C:$G,5,0)</f>
        <v>RGB</v>
      </c>
    </row>
    <row r="124" spans="1:4" hidden="1" x14ac:dyDescent="0.25">
      <c r="A124">
        <v>18780</v>
      </c>
      <c r="B124" t="s">
        <v>4</v>
      </c>
      <c r="C124" t="s">
        <v>129</v>
      </c>
      <c r="D124" t="s">
        <v>130</v>
      </c>
    </row>
    <row r="125" spans="1:4" hidden="1" x14ac:dyDescent="0.25">
      <c r="A125">
        <v>13201</v>
      </c>
      <c r="B125" t="s">
        <v>4</v>
      </c>
      <c r="C125" t="s">
        <v>131</v>
      </c>
      <c r="D125" t="str">
        <f>VLOOKUP(A125,'[1]PRODUTOS E CESTAS'!$C:$G,5,0)</f>
        <v>RGB</v>
      </c>
    </row>
    <row r="126" spans="1:4" hidden="1" x14ac:dyDescent="0.25">
      <c r="A126">
        <v>1695</v>
      </c>
      <c r="B126" t="s">
        <v>4</v>
      </c>
      <c r="C126" t="s">
        <v>132</v>
      </c>
      <c r="D126" t="str">
        <f>VLOOKUP(A126,'[1]PRODUTOS E CESTAS'!$C:$G,5,0)</f>
        <v>RGB</v>
      </c>
    </row>
    <row r="127" spans="1:4" hidden="1" x14ac:dyDescent="0.25">
      <c r="A127">
        <v>9067</v>
      </c>
      <c r="B127" t="s">
        <v>4</v>
      </c>
      <c r="C127" t="s">
        <v>133</v>
      </c>
      <c r="D127" t="str">
        <f>VLOOKUP(A127,'[1]PRODUTOS E CESTAS'!$C:$G,5,0)</f>
        <v>OW</v>
      </c>
    </row>
    <row r="128" spans="1:4" hidden="1" x14ac:dyDescent="0.25">
      <c r="A128">
        <v>19813</v>
      </c>
      <c r="B128" t="s">
        <v>32</v>
      </c>
      <c r="C128" t="s">
        <v>134</v>
      </c>
      <c r="D128" t="s">
        <v>6</v>
      </c>
    </row>
    <row r="129" spans="1:4" hidden="1" x14ac:dyDescent="0.25">
      <c r="A129">
        <v>5018</v>
      </c>
      <c r="B129" t="s">
        <v>32</v>
      </c>
      <c r="C129" t="s">
        <v>135</v>
      </c>
      <c r="D129" t="s">
        <v>6</v>
      </c>
    </row>
    <row r="130" spans="1:4" hidden="1" x14ac:dyDescent="0.25">
      <c r="A130">
        <v>21737</v>
      </c>
      <c r="B130" t="s">
        <v>32</v>
      </c>
      <c r="C130" t="s">
        <v>136</v>
      </c>
      <c r="D130" t="s">
        <v>6</v>
      </c>
    </row>
    <row r="131" spans="1:4" hidden="1" x14ac:dyDescent="0.25">
      <c r="A131">
        <v>34263</v>
      </c>
      <c r="B131" t="s">
        <v>4</v>
      </c>
      <c r="C131" t="s">
        <v>137</v>
      </c>
      <c r="D131" t="s">
        <v>6</v>
      </c>
    </row>
    <row r="132" spans="1:4" hidden="1" x14ac:dyDescent="0.25">
      <c r="A132">
        <v>33818</v>
      </c>
      <c r="B132" t="s">
        <v>4</v>
      </c>
      <c r="C132" t="s">
        <v>138</v>
      </c>
      <c r="D132" t="str">
        <f>VLOOKUP(A132,'[1]PRODUTOS E CESTAS'!$C:$G,5,0)</f>
        <v>OW</v>
      </c>
    </row>
    <row r="133" spans="1:4" hidden="1" x14ac:dyDescent="0.25">
      <c r="A133">
        <v>20535</v>
      </c>
      <c r="B133" t="s">
        <v>4</v>
      </c>
      <c r="C133" t="s">
        <v>139</v>
      </c>
      <c r="D133" t="str">
        <f>VLOOKUP(A133,'[1]PRODUTOS E CESTAS'!$C:$G,5,0)</f>
        <v>RGB</v>
      </c>
    </row>
    <row r="134" spans="1:4" hidden="1" x14ac:dyDescent="0.25">
      <c r="A134">
        <v>9069</v>
      </c>
      <c r="B134" t="s">
        <v>4</v>
      </c>
      <c r="C134" t="s">
        <v>140</v>
      </c>
      <c r="D134" t="str">
        <f>VLOOKUP(A134,'[1]PRODUTOS E CESTAS'!$C:$G,5,0)</f>
        <v>OW</v>
      </c>
    </row>
    <row r="135" spans="1:4" hidden="1" x14ac:dyDescent="0.25">
      <c r="A135">
        <v>21733</v>
      </c>
      <c r="B135" t="s">
        <v>32</v>
      </c>
      <c r="C135" t="s">
        <v>141</v>
      </c>
      <c r="D135" t="s">
        <v>6</v>
      </c>
    </row>
    <row r="136" spans="1:4" hidden="1" x14ac:dyDescent="0.25">
      <c r="A136">
        <v>2538</v>
      </c>
      <c r="B136" t="s">
        <v>4</v>
      </c>
      <c r="C136" t="s">
        <v>142</v>
      </c>
      <c r="D136" t="str">
        <f>VLOOKUP(A136,'[1]PRODUTOS E CESTAS'!$C:$G,5,0)</f>
        <v>RGB</v>
      </c>
    </row>
    <row r="137" spans="1:4" hidden="1" x14ac:dyDescent="0.25">
      <c r="A137">
        <v>32349</v>
      </c>
      <c r="B137" t="s">
        <v>32</v>
      </c>
      <c r="C137" t="s">
        <v>143</v>
      </c>
      <c r="D137" t="s">
        <v>6</v>
      </c>
    </row>
    <row r="138" spans="1:4" hidden="1" x14ac:dyDescent="0.25">
      <c r="A138">
        <v>13479</v>
      </c>
      <c r="B138" t="s">
        <v>32</v>
      </c>
      <c r="C138" t="s">
        <v>144</v>
      </c>
      <c r="D138" t="s">
        <v>6</v>
      </c>
    </row>
    <row r="139" spans="1:4" hidden="1" x14ac:dyDescent="0.25">
      <c r="A139">
        <v>19668</v>
      </c>
      <c r="B139" t="s">
        <v>4</v>
      </c>
      <c r="C139" t="s">
        <v>145</v>
      </c>
      <c r="D139" t="str">
        <f>VLOOKUP(A139,'[1]PRODUTOS E CESTAS'!$C:$G,5,0)</f>
        <v>OW</v>
      </c>
    </row>
    <row r="140" spans="1:4" hidden="1" x14ac:dyDescent="0.25">
      <c r="A140">
        <v>12951</v>
      </c>
      <c r="B140" t="s">
        <v>4</v>
      </c>
      <c r="C140" t="s">
        <v>146</v>
      </c>
      <c r="D140" t="str">
        <f>VLOOKUP(A140,'[1]PRODUTOS E CESTAS'!$C:$G,5,0)</f>
        <v>OW</v>
      </c>
    </row>
    <row r="141" spans="1:4" hidden="1" x14ac:dyDescent="0.25">
      <c r="A141">
        <v>1898</v>
      </c>
      <c r="B141" t="s">
        <v>4</v>
      </c>
      <c r="C141" t="s">
        <v>147</v>
      </c>
      <c r="D141" t="str">
        <f>VLOOKUP(A141,'[1]PRODUTOS E CESTAS'!$C:$G,5,0)</f>
        <v>OW</v>
      </c>
    </row>
    <row r="142" spans="1:4" hidden="1" x14ac:dyDescent="0.25">
      <c r="A142">
        <v>23194</v>
      </c>
      <c r="B142" t="s">
        <v>32</v>
      </c>
      <c r="C142" t="s">
        <v>148</v>
      </c>
      <c r="D142" t="s">
        <v>6</v>
      </c>
    </row>
    <row r="143" spans="1:4" hidden="1" x14ac:dyDescent="0.25">
      <c r="A143">
        <v>32785</v>
      </c>
      <c r="B143" t="s">
        <v>4</v>
      </c>
      <c r="C143" t="s">
        <v>149</v>
      </c>
      <c r="D143" t="s">
        <v>6</v>
      </c>
    </row>
    <row r="144" spans="1:4" hidden="1" x14ac:dyDescent="0.25">
      <c r="A144">
        <v>29580</v>
      </c>
      <c r="B144" t="s">
        <v>4</v>
      </c>
      <c r="C144" t="s">
        <v>150</v>
      </c>
      <c r="D144" t="str">
        <f>VLOOKUP(A144,'[1]PRODUTOS E CESTAS'!$C:$G,5,0)</f>
        <v>OW</v>
      </c>
    </row>
    <row r="145" spans="1:4" hidden="1" x14ac:dyDescent="0.25">
      <c r="A145">
        <v>24379</v>
      </c>
      <c r="B145" t="s">
        <v>32</v>
      </c>
      <c r="C145" t="s">
        <v>151</v>
      </c>
      <c r="D145" t="s">
        <v>6</v>
      </c>
    </row>
    <row r="146" spans="1:4" hidden="1" x14ac:dyDescent="0.25">
      <c r="A146">
        <v>14672</v>
      </c>
      <c r="B146" t="s">
        <v>32</v>
      </c>
      <c r="C146" t="s">
        <v>152</v>
      </c>
      <c r="D146" t="s">
        <v>6</v>
      </c>
    </row>
    <row r="147" spans="1:4" hidden="1" x14ac:dyDescent="0.25">
      <c r="A147">
        <v>23271</v>
      </c>
      <c r="B147" t="s">
        <v>32</v>
      </c>
      <c r="C147" t="s">
        <v>153</v>
      </c>
      <c r="D147" t="s">
        <v>6</v>
      </c>
    </row>
    <row r="148" spans="1:4" hidden="1" x14ac:dyDescent="0.25">
      <c r="A148">
        <v>988</v>
      </c>
      <c r="B148" t="s">
        <v>4</v>
      </c>
      <c r="C148" t="s">
        <v>154</v>
      </c>
      <c r="D148" t="str">
        <f>VLOOKUP(A148,'[1]PRODUTOS E CESTAS'!$C:$G,5,0)</f>
        <v>RGB</v>
      </c>
    </row>
    <row r="149" spans="1:4" hidden="1" x14ac:dyDescent="0.25">
      <c r="A149">
        <v>24378</v>
      </c>
      <c r="B149" t="s">
        <v>32</v>
      </c>
      <c r="C149" t="s">
        <v>155</v>
      </c>
      <c r="D149" t="s">
        <v>6</v>
      </c>
    </row>
    <row r="150" spans="1:4" hidden="1" x14ac:dyDescent="0.25">
      <c r="A150">
        <v>7960</v>
      </c>
      <c r="B150" t="s">
        <v>32</v>
      </c>
      <c r="C150" t="s">
        <v>156</v>
      </c>
      <c r="D150" t="s">
        <v>6</v>
      </c>
    </row>
    <row r="151" spans="1:4" hidden="1" x14ac:dyDescent="0.25">
      <c r="A151">
        <v>1388</v>
      </c>
      <c r="B151" t="s">
        <v>4</v>
      </c>
      <c r="C151" t="s">
        <v>157</v>
      </c>
      <c r="D151" t="str">
        <f>VLOOKUP(A151,'[1]PRODUTOS E CESTAS'!$C:$G,5,0)</f>
        <v>RGB</v>
      </c>
    </row>
    <row r="152" spans="1:4" hidden="1" x14ac:dyDescent="0.25">
      <c r="A152">
        <v>23453</v>
      </c>
      <c r="B152" t="s">
        <v>32</v>
      </c>
      <c r="C152" t="s">
        <v>158</v>
      </c>
      <c r="D152" t="s">
        <v>6</v>
      </c>
    </row>
    <row r="153" spans="1:4" hidden="1" x14ac:dyDescent="0.25">
      <c r="A153">
        <v>20530</v>
      </c>
      <c r="B153" t="s">
        <v>4</v>
      </c>
      <c r="C153" t="s">
        <v>159</v>
      </c>
      <c r="D153" t="str">
        <f>VLOOKUP(A153,'[1]PRODUTOS E CESTAS'!$C:$G,5,0)</f>
        <v>RGB</v>
      </c>
    </row>
    <row r="154" spans="1:4" hidden="1" x14ac:dyDescent="0.25">
      <c r="A154">
        <v>23269</v>
      </c>
      <c r="B154" t="s">
        <v>32</v>
      </c>
      <c r="C154" t="s">
        <v>160</v>
      </c>
      <c r="D154" t="s">
        <v>6</v>
      </c>
    </row>
    <row r="155" spans="1:4" hidden="1" x14ac:dyDescent="0.25">
      <c r="A155">
        <v>17638</v>
      </c>
      <c r="B155" t="s">
        <v>32</v>
      </c>
      <c r="C155" t="s">
        <v>161</v>
      </c>
      <c r="D155" t="s">
        <v>6</v>
      </c>
    </row>
    <row r="156" spans="1:4" hidden="1" x14ac:dyDescent="0.25">
      <c r="A156">
        <v>20174</v>
      </c>
      <c r="B156" t="s">
        <v>32</v>
      </c>
      <c r="C156" t="s">
        <v>162</v>
      </c>
      <c r="D156" t="s">
        <v>6</v>
      </c>
    </row>
    <row r="157" spans="1:4" hidden="1" x14ac:dyDescent="0.25">
      <c r="A157">
        <v>14138</v>
      </c>
      <c r="B157" t="s">
        <v>32</v>
      </c>
      <c r="C157" t="s">
        <v>163</v>
      </c>
      <c r="D157" t="s">
        <v>6</v>
      </c>
    </row>
    <row r="158" spans="1:4" hidden="1" x14ac:dyDescent="0.25">
      <c r="A158">
        <v>13307</v>
      </c>
      <c r="B158" t="s">
        <v>4</v>
      </c>
      <c r="C158" t="s">
        <v>164</v>
      </c>
      <c r="D158" t="s">
        <v>165</v>
      </c>
    </row>
    <row r="159" spans="1:4" hidden="1" x14ac:dyDescent="0.25">
      <c r="A159">
        <v>12978</v>
      </c>
      <c r="B159" t="s">
        <v>32</v>
      </c>
      <c r="C159" t="s">
        <v>166</v>
      </c>
      <c r="D159" t="s">
        <v>6</v>
      </c>
    </row>
    <row r="160" spans="1:4" hidden="1" x14ac:dyDescent="0.25">
      <c r="A160">
        <v>21119</v>
      </c>
      <c r="B160" t="s">
        <v>32</v>
      </c>
      <c r="C160" t="s">
        <v>167</v>
      </c>
      <c r="D160" t="s">
        <v>6</v>
      </c>
    </row>
    <row r="161" spans="1:4" hidden="1" x14ac:dyDescent="0.25">
      <c r="A161">
        <v>2008</v>
      </c>
      <c r="B161" t="s">
        <v>4</v>
      </c>
      <c r="C161" t="s">
        <v>168</v>
      </c>
      <c r="D161" t="str">
        <f>VLOOKUP(A161,'[1]PRODUTOS E CESTAS'!$C:$G,5,0)</f>
        <v>OW</v>
      </c>
    </row>
    <row r="162" spans="1:4" hidden="1" x14ac:dyDescent="0.25">
      <c r="A162">
        <v>15130</v>
      </c>
      <c r="B162" t="s">
        <v>32</v>
      </c>
      <c r="C162" t="s">
        <v>169</v>
      </c>
      <c r="D162" t="s">
        <v>6</v>
      </c>
    </row>
    <row r="163" spans="1:4" hidden="1" x14ac:dyDescent="0.25">
      <c r="A163">
        <v>32361</v>
      </c>
      <c r="B163" t="s">
        <v>32</v>
      </c>
      <c r="C163" t="s">
        <v>170</v>
      </c>
      <c r="D163" t="s">
        <v>6</v>
      </c>
    </row>
    <row r="164" spans="1:4" hidden="1" x14ac:dyDescent="0.25">
      <c r="A164">
        <v>20355</v>
      </c>
      <c r="B164" t="s">
        <v>32</v>
      </c>
      <c r="C164" t="s">
        <v>171</v>
      </c>
      <c r="D164" t="s">
        <v>6</v>
      </c>
    </row>
    <row r="165" spans="1:4" hidden="1" x14ac:dyDescent="0.25">
      <c r="A165">
        <v>23413</v>
      </c>
      <c r="B165" t="s">
        <v>32</v>
      </c>
      <c r="C165" t="s">
        <v>172</v>
      </c>
      <c r="D165" t="s">
        <v>6</v>
      </c>
    </row>
    <row r="166" spans="1:4" hidden="1" x14ac:dyDescent="0.25">
      <c r="A166">
        <v>4262</v>
      </c>
      <c r="B166" t="s">
        <v>4</v>
      </c>
      <c r="C166" t="s">
        <v>173</v>
      </c>
      <c r="D166" t="s">
        <v>6</v>
      </c>
    </row>
    <row r="167" spans="1:4" hidden="1" x14ac:dyDescent="0.25">
      <c r="A167">
        <v>12745</v>
      </c>
      <c r="B167" t="s">
        <v>32</v>
      </c>
      <c r="C167" t="s">
        <v>174</v>
      </c>
      <c r="D167" t="s">
        <v>6</v>
      </c>
    </row>
    <row r="168" spans="1:4" hidden="1" x14ac:dyDescent="0.25">
      <c r="A168">
        <v>13203</v>
      </c>
      <c r="B168" t="s">
        <v>4</v>
      </c>
      <c r="C168" t="s">
        <v>175</v>
      </c>
      <c r="D168" t="s">
        <v>61</v>
      </c>
    </row>
    <row r="169" spans="1:4" hidden="1" x14ac:dyDescent="0.25">
      <c r="A169">
        <v>2006</v>
      </c>
      <c r="B169" t="s">
        <v>4</v>
      </c>
      <c r="C169" t="s">
        <v>176</v>
      </c>
      <c r="D169" t="str">
        <f>VLOOKUP(A169,'[1]PRODUTOS E CESTAS'!$C:$G,5,0)</f>
        <v>RGB</v>
      </c>
    </row>
    <row r="170" spans="1:4" hidden="1" x14ac:dyDescent="0.25">
      <c r="A170">
        <v>33212</v>
      </c>
      <c r="B170" t="s">
        <v>32</v>
      </c>
      <c r="C170" t="s">
        <v>177</v>
      </c>
      <c r="D170" t="s">
        <v>6</v>
      </c>
    </row>
    <row r="171" spans="1:4" hidden="1" x14ac:dyDescent="0.25">
      <c r="A171">
        <v>20498</v>
      </c>
      <c r="B171" t="s">
        <v>4</v>
      </c>
      <c r="C171" t="s">
        <v>178</v>
      </c>
      <c r="D171" t="str">
        <f>VLOOKUP(A171,'[1]PRODUTOS E CESTAS'!$C:$G,5,0)</f>
        <v>OW</v>
      </c>
    </row>
    <row r="172" spans="1:4" hidden="1" x14ac:dyDescent="0.25">
      <c r="A172">
        <v>21739</v>
      </c>
      <c r="B172" t="s">
        <v>32</v>
      </c>
      <c r="C172" t="s">
        <v>179</v>
      </c>
      <c r="D172" t="s">
        <v>6</v>
      </c>
    </row>
    <row r="173" spans="1:4" hidden="1" x14ac:dyDescent="0.25">
      <c r="A173">
        <v>13205</v>
      </c>
      <c r="B173" t="s">
        <v>4</v>
      </c>
      <c r="C173" t="s">
        <v>180</v>
      </c>
      <c r="D173" t="str">
        <f>VLOOKUP(A173,'[1]PRODUTOS E CESTAS'!$C:$G,5,0)</f>
        <v>RGB</v>
      </c>
    </row>
    <row r="174" spans="1:4" hidden="1" x14ac:dyDescent="0.25">
      <c r="A174">
        <v>23186</v>
      </c>
      <c r="B174" t="s">
        <v>4</v>
      </c>
      <c r="C174" t="s">
        <v>181</v>
      </c>
      <c r="D174" t="str">
        <f>VLOOKUP(A174,'[1]PRODUTOS E CESTAS'!$C:$G,5,0)</f>
        <v>RGB</v>
      </c>
    </row>
    <row r="175" spans="1:4" hidden="1" x14ac:dyDescent="0.25">
      <c r="A175">
        <v>20252</v>
      </c>
      <c r="B175" t="s">
        <v>32</v>
      </c>
      <c r="C175" t="s">
        <v>182</v>
      </c>
      <c r="D175" t="s">
        <v>6</v>
      </c>
    </row>
    <row r="176" spans="1:4" hidden="1" x14ac:dyDescent="0.25">
      <c r="A176">
        <v>12948</v>
      </c>
      <c r="B176" t="s">
        <v>4</v>
      </c>
      <c r="C176" t="s">
        <v>183</v>
      </c>
      <c r="D176" t="str">
        <f>VLOOKUP(A176,'[1]PRODUTOS E CESTAS'!$C:$G,5,0)</f>
        <v>OW</v>
      </c>
    </row>
    <row r="177" spans="1:4" hidden="1" x14ac:dyDescent="0.25">
      <c r="A177">
        <v>14135</v>
      </c>
      <c r="B177" t="s">
        <v>4</v>
      </c>
      <c r="C177" t="s">
        <v>184</v>
      </c>
      <c r="D177" t="s">
        <v>6</v>
      </c>
    </row>
    <row r="178" spans="1:4" hidden="1" x14ac:dyDescent="0.25">
      <c r="A178">
        <v>23193</v>
      </c>
      <c r="B178" t="s">
        <v>32</v>
      </c>
      <c r="C178" t="s">
        <v>185</v>
      </c>
      <c r="D178" t="s">
        <v>6</v>
      </c>
    </row>
    <row r="179" spans="1:4" hidden="1" x14ac:dyDescent="0.25">
      <c r="A179">
        <v>28137</v>
      </c>
      <c r="B179" t="s">
        <v>32</v>
      </c>
      <c r="C179" t="s">
        <v>186</v>
      </c>
      <c r="D179" t="s">
        <v>6</v>
      </c>
    </row>
    <row r="180" spans="1:4" hidden="1" x14ac:dyDescent="0.25">
      <c r="A180">
        <v>1699</v>
      </c>
      <c r="B180" t="s">
        <v>4</v>
      </c>
      <c r="C180" t="s">
        <v>187</v>
      </c>
      <c r="D180" t="s">
        <v>130</v>
      </c>
    </row>
    <row r="181" spans="1:4" hidden="1" x14ac:dyDescent="0.25">
      <c r="A181">
        <v>21116</v>
      </c>
      <c r="B181" t="s">
        <v>32</v>
      </c>
      <c r="C181" t="s">
        <v>188</v>
      </c>
      <c r="D181" t="s">
        <v>6</v>
      </c>
    </row>
    <row r="182" spans="1:4" hidden="1" x14ac:dyDescent="0.25">
      <c r="A182">
        <v>13194</v>
      </c>
      <c r="B182" t="s">
        <v>4</v>
      </c>
      <c r="C182" t="s">
        <v>189</v>
      </c>
      <c r="D182" t="s">
        <v>6</v>
      </c>
    </row>
    <row r="183" spans="1:4" hidden="1" x14ac:dyDescent="0.25">
      <c r="A183">
        <v>15296</v>
      </c>
      <c r="B183" t="s">
        <v>32</v>
      </c>
      <c r="C183" t="s">
        <v>190</v>
      </c>
      <c r="D183" t="s">
        <v>6</v>
      </c>
    </row>
    <row r="184" spans="1:4" hidden="1" x14ac:dyDescent="0.25">
      <c r="A184">
        <v>21385</v>
      </c>
      <c r="B184" t="s">
        <v>32</v>
      </c>
      <c r="C184" t="s">
        <v>191</v>
      </c>
      <c r="D184" t="s">
        <v>6</v>
      </c>
    </row>
    <row r="185" spans="1:4" hidden="1" x14ac:dyDescent="0.25">
      <c r="A185">
        <v>371</v>
      </c>
      <c r="B185" t="s">
        <v>4</v>
      </c>
      <c r="C185" t="s">
        <v>192</v>
      </c>
      <c r="D185" t="str">
        <f>VLOOKUP(A185,'[2]PRODUTOS E CESTAS'!$C:$G,5,0)</f>
        <v>OW</v>
      </c>
    </row>
    <row r="186" spans="1:4" hidden="1" x14ac:dyDescent="0.25">
      <c r="A186">
        <v>18836</v>
      </c>
      <c r="B186" t="s">
        <v>4</v>
      </c>
      <c r="C186" t="s">
        <v>193</v>
      </c>
      <c r="D186" t="str">
        <f>VLOOKUP(A186,'[1]PRODUTOS E CESTAS'!$C:$G,5,0)</f>
        <v>OW</v>
      </c>
    </row>
    <row r="187" spans="1:4" hidden="1" x14ac:dyDescent="0.25">
      <c r="A187">
        <v>21668</v>
      </c>
      <c r="B187" t="s">
        <v>4</v>
      </c>
      <c r="C187" t="s">
        <v>194</v>
      </c>
      <c r="D187" t="str">
        <f>VLOOKUP(A187,'[1]PRODUTOS E CESTAS'!$C:$G,5,0)</f>
        <v>RGB</v>
      </c>
    </row>
    <row r="188" spans="1:4" hidden="1" x14ac:dyDescent="0.25">
      <c r="A188">
        <v>21020</v>
      </c>
      <c r="B188" t="s">
        <v>4</v>
      </c>
      <c r="C188" t="s">
        <v>195</v>
      </c>
      <c r="D188" t="str">
        <f>VLOOKUP(A188,'[1]PRODUTOS E CESTAS'!$C:$G,5,0)</f>
        <v>OW</v>
      </c>
    </row>
    <row r="189" spans="1:4" hidden="1" x14ac:dyDescent="0.25">
      <c r="A189">
        <v>2546</v>
      </c>
      <c r="B189" t="s">
        <v>4</v>
      </c>
      <c r="C189" t="s">
        <v>196</v>
      </c>
      <c r="D189" t="str">
        <f>VLOOKUP(A189,'[1]PRODUTOS E CESTAS'!$C:$G,5,0)</f>
        <v>RGB</v>
      </c>
    </row>
    <row r="190" spans="1:4" hidden="1" x14ac:dyDescent="0.25">
      <c r="A190">
        <v>22177</v>
      </c>
      <c r="B190" t="s">
        <v>4</v>
      </c>
      <c r="C190" t="s">
        <v>197</v>
      </c>
      <c r="D190" t="s">
        <v>6</v>
      </c>
    </row>
    <row r="191" spans="1:4" hidden="1" x14ac:dyDescent="0.25">
      <c r="A191">
        <v>20651</v>
      </c>
      <c r="B191" t="s">
        <v>4</v>
      </c>
      <c r="C191" t="s">
        <v>198</v>
      </c>
      <c r="D191" t="str">
        <f>VLOOKUP(A191,'[1]PRODUTOS E CESTAS'!$C:$G,5,0)</f>
        <v>OW</v>
      </c>
    </row>
    <row r="192" spans="1:4" hidden="1" x14ac:dyDescent="0.25">
      <c r="A192">
        <v>24132</v>
      </c>
      <c r="B192" t="s">
        <v>32</v>
      </c>
      <c r="C192" t="s">
        <v>199</v>
      </c>
      <c r="D192" t="s">
        <v>6</v>
      </c>
    </row>
    <row r="193" spans="1:4" hidden="1" x14ac:dyDescent="0.25">
      <c r="A193">
        <v>25273</v>
      </c>
      <c r="B193" t="s">
        <v>32</v>
      </c>
      <c r="C193" t="s">
        <v>200</v>
      </c>
      <c r="D193" t="s">
        <v>6</v>
      </c>
    </row>
    <row r="194" spans="1:4" hidden="1" x14ac:dyDescent="0.25">
      <c r="A194">
        <v>15247</v>
      </c>
      <c r="B194" t="s">
        <v>32</v>
      </c>
      <c r="C194" t="s">
        <v>201</v>
      </c>
      <c r="D194" t="s">
        <v>6</v>
      </c>
    </row>
    <row r="195" spans="1:4" hidden="1" x14ac:dyDescent="0.25">
      <c r="A195">
        <v>18807</v>
      </c>
      <c r="B195" t="s">
        <v>4</v>
      </c>
      <c r="C195" t="s">
        <v>202</v>
      </c>
      <c r="D195" t="str">
        <f>VLOOKUP(A195,'[1]PRODUTOS E CESTAS'!$C:$G,5,0)</f>
        <v>OW</v>
      </c>
    </row>
    <row r="196" spans="1:4" hidden="1" x14ac:dyDescent="0.25">
      <c r="A196">
        <v>2548</v>
      </c>
      <c r="B196" t="s">
        <v>4</v>
      </c>
      <c r="C196" t="s">
        <v>203</v>
      </c>
      <c r="D196" t="str">
        <f>VLOOKUP(A196,'[1]PRODUTOS E CESTAS'!$C:$G,5,0)</f>
        <v>RGB</v>
      </c>
    </row>
    <row r="197" spans="1:4" hidden="1" x14ac:dyDescent="0.25">
      <c r="A197">
        <v>1701</v>
      </c>
      <c r="B197" t="s">
        <v>32</v>
      </c>
      <c r="C197" t="s">
        <v>204</v>
      </c>
      <c r="D197" t="s">
        <v>6</v>
      </c>
    </row>
    <row r="198" spans="1:4" hidden="1" x14ac:dyDescent="0.25">
      <c r="A198">
        <v>1743</v>
      </c>
      <c r="B198" t="s">
        <v>4</v>
      </c>
      <c r="C198" t="s">
        <v>205</v>
      </c>
      <c r="D198" t="str">
        <f>VLOOKUP(A198,'[1]PRODUTOS E CESTAS'!$C:$G,5,0)</f>
        <v>RGB</v>
      </c>
    </row>
    <row r="199" spans="1:4" hidden="1" x14ac:dyDescent="0.25">
      <c r="A199">
        <v>21658</v>
      </c>
      <c r="B199" t="s">
        <v>4</v>
      </c>
      <c r="C199" t="s">
        <v>206</v>
      </c>
      <c r="D199" t="str">
        <f>VLOOKUP(A199,'[1]PRODUTOS E CESTAS'!$C:$G,5,0)</f>
        <v>OW</v>
      </c>
    </row>
    <row r="200" spans="1:4" hidden="1" x14ac:dyDescent="0.25">
      <c r="A200">
        <v>29991</v>
      </c>
      <c r="B200" t="s">
        <v>32</v>
      </c>
      <c r="C200" t="s">
        <v>207</v>
      </c>
      <c r="D200" t="s">
        <v>6</v>
      </c>
    </row>
    <row r="201" spans="1:4" hidden="1" x14ac:dyDescent="0.25">
      <c r="A201">
        <v>13572</v>
      </c>
      <c r="B201" t="s">
        <v>32</v>
      </c>
      <c r="C201" t="s">
        <v>208</v>
      </c>
      <c r="D201" t="s">
        <v>6</v>
      </c>
    </row>
    <row r="202" spans="1:4" hidden="1" x14ac:dyDescent="0.25">
      <c r="A202">
        <v>20217</v>
      </c>
      <c r="B202" t="s">
        <v>4</v>
      </c>
      <c r="C202" t="s">
        <v>209</v>
      </c>
      <c r="D202" t="str">
        <f>VLOOKUP(A202,'[1]PRODUTOS E CESTAS'!$C:$G,5,0)</f>
        <v>RGB</v>
      </c>
    </row>
    <row r="203" spans="1:4" hidden="1" x14ac:dyDescent="0.25">
      <c r="A203">
        <v>17808</v>
      </c>
      <c r="B203" t="s">
        <v>4</v>
      </c>
      <c r="C203" t="s">
        <v>210</v>
      </c>
      <c r="D203" t="str">
        <f>VLOOKUP(A203,'[1]PRODUTOS E CESTAS'!$C:$G,5,0)</f>
        <v>OW</v>
      </c>
    </row>
    <row r="204" spans="1:4" x14ac:dyDescent="0.25">
      <c r="A204">
        <v>9091</v>
      </c>
      <c r="B204" t="s">
        <v>211</v>
      </c>
      <c r="C204" t="s">
        <v>212</v>
      </c>
      <c r="D204" t="str">
        <f>VLOOKUP(A204,'[1]PRODUTOS E CESTAS'!$C:$G,5,0)</f>
        <v>SINGLE</v>
      </c>
    </row>
    <row r="205" spans="1:4" x14ac:dyDescent="0.25">
      <c r="A205">
        <v>9092</v>
      </c>
      <c r="B205" t="s">
        <v>213</v>
      </c>
      <c r="C205" t="s">
        <v>214</v>
      </c>
      <c r="D205" t="str">
        <f>VLOOKUP(A205,'[2]PRODUTOS E CESTAS'!$C:$G,5,0)</f>
        <v>SINGLE</v>
      </c>
    </row>
    <row r="206" spans="1:4" x14ac:dyDescent="0.25">
      <c r="A206">
        <v>1166</v>
      </c>
      <c r="B206" t="s">
        <v>211</v>
      </c>
      <c r="C206" t="s">
        <v>215</v>
      </c>
      <c r="D206" t="str">
        <f>VLOOKUP(A206,'[1]PRODUTOS E CESTAS'!$C:$G,5,0)</f>
        <v>MULTI</v>
      </c>
    </row>
    <row r="207" spans="1:4" x14ac:dyDescent="0.25">
      <c r="A207">
        <v>503</v>
      </c>
      <c r="B207" t="s">
        <v>211</v>
      </c>
      <c r="C207" t="s">
        <v>216</v>
      </c>
      <c r="D207" t="str">
        <f>VLOOKUP(A207,'[1]PRODUTOS E CESTAS'!$C:$G,5,0)</f>
        <v>MULTI</v>
      </c>
    </row>
    <row r="208" spans="1:4" x14ac:dyDescent="0.25">
      <c r="A208">
        <v>18268</v>
      </c>
      <c r="B208" t="s">
        <v>211</v>
      </c>
      <c r="C208" t="s">
        <v>217</v>
      </c>
      <c r="D208" t="str">
        <f>VLOOKUP(A208,'[1]PRODUTOS E CESTAS'!$C:$G,5,0)</f>
        <v>SINGLE</v>
      </c>
    </row>
    <row r="209" spans="1:4" x14ac:dyDescent="0.25">
      <c r="A209">
        <v>347</v>
      </c>
      <c r="B209" t="s">
        <v>211</v>
      </c>
      <c r="C209" t="s">
        <v>218</v>
      </c>
      <c r="D209" t="str">
        <f>VLOOKUP(A209,'[1]PRODUTOS E CESTAS'!$C:$G,5,0)</f>
        <v>MULTI</v>
      </c>
    </row>
    <row r="210" spans="1:4" x14ac:dyDescent="0.25">
      <c r="A210">
        <v>21441</v>
      </c>
      <c r="B210" t="s">
        <v>211</v>
      </c>
      <c r="C210" t="s">
        <v>219</v>
      </c>
      <c r="D210" t="str">
        <f>VLOOKUP(A210,'[2]PRODUTOS E CESTAS'!$C:$G,5,0)</f>
        <v>MULTI</v>
      </c>
    </row>
    <row r="211" spans="1:4" x14ac:dyDescent="0.25">
      <c r="A211">
        <v>9089</v>
      </c>
      <c r="B211" t="s">
        <v>211</v>
      </c>
      <c r="C211" t="s">
        <v>220</v>
      </c>
      <c r="D211" t="str">
        <f>VLOOKUP(A211,'[1]PRODUTOS E CESTAS'!$C:$G,5,0)</f>
        <v>SINGLE</v>
      </c>
    </row>
    <row r="212" spans="1:4" x14ac:dyDescent="0.25">
      <c r="A212">
        <v>2350</v>
      </c>
      <c r="B212" t="s">
        <v>211</v>
      </c>
      <c r="C212" t="s">
        <v>221</v>
      </c>
      <c r="D212" t="str">
        <f>VLOOKUP(A212,'[2]PRODUTOS E CESTAS'!$C:$G,5,0)</f>
        <v>MULTI</v>
      </c>
    </row>
    <row r="213" spans="1:4" x14ac:dyDescent="0.25">
      <c r="A213">
        <v>18267</v>
      </c>
      <c r="B213" t="s">
        <v>211</v>
      </c>
      <c r="C213" t="s">
        <v>222</v>
      </c>
      <c r="D213" t="str">
        <f>VLOOKUP(A213,'[1]PRODUTOS E CESTAS'!$C:$G,5,0)</f>
        <v>SINGLE</v>
      </c>
    </row>
    <row r="214" spans="1:4" x14ac:dyDescent="0.25">
      <c r="A214">
        <v>2320</v>
      </c>
      <c r="B214" t="s">
        <v>211</v>
      </c>
      <c r="C214" t="s">
        <v>223</v>
      </c>
      <c r="D214" t="str">
        <f>VLOOKUP(A214,'[1]PRODUTOS E CESTAS'!$C:$G,5,0)</f>
        <v>MULTI</v>
      </c>
    </row>
    <row r="215" spans="1:4" x14ac:dyDescent="0.25">
      <c r="A215">
        <v>9087</v>
      </c>
      <c r="B215" t="s">
        <v>211</v>
      </c>
      <c r="C215" t="s">
        <v>224</v>
      </c>
      <c r="D215" t="str">
        <f>VLOOKUP(A215,'[1]PRODUTOS E CESTAS'!$C:$G,5,0)</f>
        <v>SINGLE</v>
      </c>
    </row>
    <row r="216" spans="1:4" x14ac:dyDescent="0.25">
      <c r="A216">
        <v>2354</v>
      </c>
      <c r="B216" t="s">
        <v>211</v>
      </c>
      <c r="C216" t="s">
        <v>225</v>
      </c>
      <c r="D216" t="str">
        <f>VLOOKUP(A216,'[2]PRODUTOS E CESTAS'!$C:$G,5,0)</f>
        <v>MULTI</v>
      </c>
    </row>
    <row r="217" spans="1:4" x14ac:dyDescent="0.25">
      <c r="A217">
        <v>9088</v>
      </c>
      <c r="B217" t="s">
        <v>211</v>
      </c>
      <c r="C217" t="s">
        <v>226</v>
      </c>
      <c r="D217" t="str">
        <f>VLOOKUP(A217,'[2]PRODUTOS E CESTAS'!$C:$G,5,0)</f>
        <v>SINGLE</v>
      </c>
    </row>
    <row r="218" spans="1:4" x14ac:dyDescent="0.25">
      <c r="A218">
        <v>9276</v>
      </c>
      <c r="B218" t="s">
        <v>213</v>
      </c>
      <c r="C218" t="s">
        <v>227</v>
      </c>
      <c r="D218" t="str">
        <f>VLOOKUP(A218,'[2]PRODUTOS E CESTAS'!$C:$G,5,0)</f>
        <v>MULTI</v>
      </c>
    </row>
    <row r="219" spans="1:4" x14ac:dyDescent="0.25">
      <c r="A219">
        <v>9274</v>
      </c>
      <c r="B219" t="s">
        <v>213</v>
      </c>
      <c r="C219" t="s">
        <v>228</v>
      </c>
      <c r="D219" t="str">
        <f>VLOOKUP(A219,'[1]PRODUTOS E CESTAS'!$C:$G,5,0)</f>
        <v>SINGLE</v>
      </c>
    </row>
    <row r="220" spans="1:4" x14ac:dyDescent="0.25">
      <c r="A220">
        <v>4409</v>
      </c>
      <c r="B220" t="s">
        <v>211</v>
      </c>
      <c r="C220" t="s">
        <v>229</v>
      </c>
      <c r="D220" t="str">
        <f>VLOOKUP(A220,'[2]PRODUTOS E CESTAS'!$C:$G,5,0)</f>
        <v>MULTI</v>
      </c>
    </row>
    <row r="221" spans="1:4" x14ac:dyDescent="0.25">
      <c r="A221">
        <v>9093</v>
      </c>
      <c r="B221" t="s">
        <v>213</v>
      </c>
      <c r="C221" t="s">
        <v>230</v>
      </c>
      <c r="D221" t="str">
        <f>VLOOKUP(A221,'[2]PRODUTOS E CESTAS'!$C:$G,5,0)</f>
        <v>SINGLE</v>
      </c>
    </row>
    <row r="222" spans="1:4" x14ac:dyDescent="0.25">
      <c r="A222">
        <v>504</v>
      </c>
      <c r="B222" t="s">
        <v>211</v>
      </c>
      <c r="C222" t="s">
        <v>231</v>
      </c>
      <c r="D222" t="str">
        <f>VLOOKUP(A222,'[1]PRODUTOS E CESTAS'!$C:$G,5,0)</f>
        <v>MULTI</v>
      </c>
    </row>
    <row r="223" spans="1:4" x14ac:dyDescent="0.25">
      <c r="A223">
        <v>18266</v>
      </c>
      <c r="B223" t="s">
        <v>211</v>
      </c>
      <c r="C223" t="s">
        <v>232</v>
      </c>
      <c r="D223" t="str">
        <f>VLOOKUP(A223,'[1]PRODUTOS E CESTAS'!$C:$G,5,0)</f>
        <v>SINGLE</v>
      </c>
    </row>
    <row r="224" spans="1:4" x14ac:dyDescent="0.25">
      <c r="A224">
        <v>7945</v>
      </c>
      <c r="B224" t="s">
        <v>211</v>
      </c>
      <c r="C224" t="s">
        <v>233</v>
      </c>
      <c r="D224" t="str">
        <f>VLOOKUP(A224,'[1]PRODUTOS E CESTAS'!$C:$G,5,0)</f>
        <v>MULTI</v>
      </c>
    </row>
    <row r="225" spans="1:4" x14ac:dyDescent="0.25">
      <c r="A225">
        <v>7325</v>
      </c>
      <c r="B225" t="s">
        <v>211</v>
      </c>
      <c r="C225" t="s">
        <v>234</v>
      </c>
      <c r="D225" t="str">
        <f>VLOOKUP(A225,'[1]PRODUTOS E CESTAS'!$C:$G,5,0)</f>
        <v>MULTI</v>
      </c>
    </row>
    <row r="226" spans="1:4" x14ac:dyDescent="0.25">
      <c r="A226">
        <v>9096</v>
      </c>
      <c r="B226" t="s">
        <v>211</v>
      </c>
      <c r="C226" t="s">
        <v>235</v>
      </c>
      <c r="D226" t="str">
        <f>VLOOKUP(A226,'[1]PRODUTOS E CESTAS'!$C:$G,5,0)</f>
        <v>SINGLE</v>
      </c>
    </row>
    <row r="227" spans="1:4" x14ac:dyDescent="0.25">
      <c r="A227">
        <v>4293</v>
      </c>
      <c r="B227" t="s">
        <v>213</v>
      </c>
      <c r="C227" t="s">
        <v>236</v>
      </c>
      <c r="D227" t="str">
        <f>VLOOKUP(A227,'[1]PRODUTOS E CESTAS'!$C:$G,5,0)</f>
        <v>SINGLE</v>
      </c>
    </row>
    <row r="228" spans="1:4" x14ac:dyDescent="0.25">
      <c r="A228">
        <v>29845</v>
      </c>
      <c r="B228" t="s">
        <v>213</v>
      </c>
      <c r="C228" t="s">
        <v>237</v>
      </c>
      <c r="D228" t="str">
        <f>VLOOKUP(A228,'[1]PRODUTOS E CESTAS'!$C:$G,5,0)</f>
        <v>MULTI</v>
      </c>
    </row>
    <row r="229" spans="1:4" x14ac:dyDescent="0.25">
      <c r="A229">
        <v>13061</v>
      </c>
      <c r="B229" t="s">
        <v>211</v>
      </c>
      <c r="C229" t="s">
        <v>238</v>
      </c>
      <c r="D229" t="str">
        <f>VLOOKUP(A229,'[1]PRODUTOS E CESTAS'!$C:$G,5,0)</f>
        <v>SINGLE</v>
      </c>
    </row>
    <row r="230" spans="1:4" x14ac:dyDescent="0.25">
      <c r="A230">
        <v>8791</v>
      </c>
      <c r="B230" t="s">
        <v>213</v>
      </c>
      <c r="C230" t="s">
        <v>333</v>
      </c>
      <c r="D230" t="str">
        <f>VLOOKUP(A230,'[1]PRODUTOS E CESTAS'!$C:$G,5,0)</f>
        <v>SINGLE</v>
      </c>
    </row>
    <row r="231" spans="1:4" x14ac:dyDescent="0.25">
      <c r="A231">
        <v>2349</v>
      </c>
      <c r="B231" t="s">
        <v>211</v>
      </c>
      <c r="C231" t="s">
        <v>239</v>
      </c>
      <c r="D231" t="str">
        <f>VLOOKUP(A231,'[1]PRODUTOS E CESTAS'!$C:$G,5,0)</f>
        <v>MULTI</v>
      </c>
    </row>
    <row r="232" spans="1:4" x14ac:dyDescent="0.25">
      <c r="A232">
        <v>18152</v>
      </c>
      <c r="B232" t="s">
        <v>211</v>
      </c>
      <c r="C232" t="s">
        <v>240</v>
      </c>
      <c r="D232" t="str">
        <f>VLOOKUP(A232,'[1]PRODUTOS E CESTAS'!$C:$G,5,0)</f>
        <v>SINGLE</v>
      </c>
    </row>
    <row r="233" spans="1:4" x14ac:dyDescent="0.25">
      <c r="A233">
        <v>7947</v>
      </c>
      <c r="B233" t="s">
        <v>211</v>
      </c>
      <c r="C233" t="s">
        <v>241</v>
      </c>
      <c r="D233" t="str">
        <f>VLOOKUP(A233,'[1]PRODUTOS E CESTAS'!$C:$G,5,0)</f>
        <v>MULTI</v>
      </c>
    </row>
    <row r="234" spans="1:4" x14ac:dyDescent="0.25">
      <c r="A234">
        <v>2319</v>
      </c>
      <c r="B234" t="s">
        <v>211</v>
      </c>
      <c r="C234" t="s">
        <v>242</v>
      </c>
      <c r="D234" t="str">
        <f>VLOOKUP(A234,'[1]PRODUTOS E CESTAS'!$C:$G,5,0)</f>
        <v>MULTI</v>
      </c>
    </row>
    <row r="235" spans="1:4" x14ac:dyDescent="0.25">
      <c r="A235">
        <v>9084</v>
      </c>
      <c r="B235" t="s">
        <v>211</v>
      </c>
      <c r="C235" t="s">
        <v>243</v>
      </c>
      <c r="D235" t="str">
        <f>VLOOKUP(A235,'[1]PRODUTOS E CESTAS'!$C:$G,5,0)</f>
        <v>SINGLE</v>
      </c>
    </row>
    <row r="236" spans="1:4" x14ac:dyDescent="0.25">
      <c r="A236">
        <v>2353</v>
      </c>
      <c r="B236" t="s">
        <v>213</v>
      </c>
      <c r="C236" t="s">
        <v>244</v>
      </c>
      <c r="D236" t="str">
        <f>VLOOKUP(A236,'[1]PRODUTOS E CESTAS'!$C:$G,5,0)</f>
        <v>MULTI</v>
      </c>
    </row>
    <row r="237" spans="1:4" x14ac:dyDescent="0.25">
      <c r="A237">
        <v>9085</v>
      </c>
      <c r="B237" t="s">
        <v>213</v>
      </c>
      <c r="C237" t="s">
        <v>245</v>
      </c>
      <c r="D237" t="str">
        <f>VLOOKUP(A237,'[1]PRODUTOS E CESTAS'!$C:$G,5,0)</f>
        <v>SINGLE</v>
      </c>
    </row>
    <row r="238" spans="1:4" x14ac:dyDescent="0.25">
      <c r="A238">
        <v>19321</v>
      </c>
      <c r="B238" t="s">
        <v>213</v>
      </c>
      <c r="C238" t="s">
        <v>246</v>
      </c>
      <c r="D238" t="str">
        <f>VLOOKUP(A238,'[2]PRODUTOS E CESTAS'!$C:$G,5,0)</f>
        <v>SINGLE</v>
      </c>
    </row>
    <row r="239" spans="1:4" x14ac:dyDescent="0.25">
      <c r="A239">
        <v>9795</v>
      </c>
      <c r="B239" t="s">
        <v>213</v>
      </c>
      <c r="C239" t="s">
        <v>247</v>
      </c>
      <c r="D239" t="str">
        <f>VLOOKUP(A239,'[1]PRODUTOS E CESTAS'!$C:$G,5,0)</f>
        <v>MULTI</v>
      </c>
    </row>
    <row r="240" spans="1:4" x14ac:dyDescent="0.25">
      <c r="A240">
        <v>7977</v>
      </c>
      <c r="B240" t="s">
        <v>211</v>
      </c>
      <c r="C240" t="s">
        <v>248</v>
      </c>
      <c r="D240" t="str">
        <f>VLOOKUP(A240,'[1]PRODUTOS E CESTAS'!$C:$G,5,0)</f>
        <v>SINGLE</v>
      </c>
    </row>
    <row r="241" spans="1:4" x14ac:dyDescent="0.25">
      <c r="A241">
        <v>7980</v>
      </c>
      <c r="B241" t="s">
        <v>211</v>
      </c>
      <c r="C241" t="s">
        <v>249</v>
      </c>
      <c r="D241" t="str">
        <f>VLOOKUP(A241,'[2]PRODUTOS E CESTAS'!$C:$G,5,0)</f>
        <v>SINGLE</v>
      </c>
    </row>
    <row r="242" spans="1:4" x14ac:dyDescent="0.25">
      <c r="A242">
        <v>7983</v>
      </c>
      <c r="B242" t="s">
        <v>211</v>
      </c>
      <c r="C242" t="s">
        <v>250</v>
      </c>
      <c r="D242" t="str">
        <f>VLOOKUP(A242,'[1]PRODUTOS E CESTAS'!$C:$G,5,0)</f>
        <v>SINGLE</v>
      </c>
    </row>
    <row r="243" spans="1:4" x14ac:dyDescent="0.25">
      <c r="A243">
        <v>7982</v>
      </c>
      <c r="B243" t="s">
        <v>211</v>
      </c>
      <c r="C243" t="s">
        <v>334</v>
      </c>
      <c r="D243" t="str">
        <f>VLOOKUP(A243,'[1]PRODUTOS E CESTAS'!$C:$G,5,0)</f>
        <v>SINGLE</v>
      </c>
    </row>
    <row r="244" spans="1:4" x14ac:dyDescent="0.25">
      <c r="A244">
        <v>7981</v>
      </c>
      <c r="B244" t="s">
        <v>211</v>
      </c>
      <c r="C244" t="s">
        <v>251</v>
      </c>
      <c r="D244" t="str">
        <f>VLOOKUP(A244,'[1]PRODUTOS E CESTAS'!$C:$G,5,0)</f>
        <v>SINGLE</v>
      </c>
    </row>
    <row r="245" spans="1:4" x14ac:dyDescent="0.25">
      <c r="A245">
        <v>32067</v>
      </c>
      <c r="B245" t="s">
        <v>211</v>
      </c>
      <c r="C245" t="s">
        <v>252</v>
      </c>
      <c r="D245" t="str">
        <f>VLOOKUP(A245,'[2]PRODUTOS E CESTAS'!$C:$G,5,0)</f>
        <v>SINGLE</v>
      </c>
    </row>
    <row r="246" spans="1:4" x14ac:dyDescent="0.25">
      <c r="A246">
        <v>25700</v>
      </c>
      <c r="B246" t="s">
        <v>211</v>
      </c>
      <c r="C246" t="s">
        <v>253</v>
      </c>
      <c r="D246" t="str">
        <f>VLOOKUP(A246,'[2]PRODUTOS E CESTAS'!$C:$G,5,0)</f>
        <v>MULTI</v>
      </c>
    </row>
    <row r="247" spans="1:4" hidden="1" x14ac:dyDescent="0.25">
      <c r="A247">
        <v>19225</v>
      </c>
      <c r="B247" t="s">
        <v>254</v>
      </c>
      <c r="C247" t="s">
        <v>255</v>
      </c>
      <c r="D247" t="str">
        <f>VLOOKUP(A247,'[2]PRODUTOS E CESTAS'!$C:$G,5,0)</f>
        <v>SINGLE</v>
      </c>
    </row>
    <row r="248" spans="1:4" hidden="1" x14ac:dyDescent="0.25">
      <c r="A248">
        <v>19231</v>
      </c>
      <c r="B248" t="s">
        <v>254</v>
      </c>
      <c r="C248" t="s">
        <v>256</v>
      </c>
      <c r="D248" t="str">
        <f>VLOOKUP(A248,'[1]PRODUTOS E CESTAS'!$C:$G,5,0)</f>
        <v>SINGLE</v>
      </c>
    </row>
    <row r="249" spans="1:4" hidden="1" x14ac:dyDescent="0.25">
      <c r="A249">
        <v>30045</v>
      </c>
      <c r="B249" t="s">
        <v>254</v>
      </c>
      <c r="C249" t="s">
        <v>257</v>
      </c>
      <c r="D249" t="str">
        <f>VLOOKUP(A249,'[1]PRODUTOS E CESTAS'!$C:$G,5,0)</f>
        <v>SINGLE</v>
      </c>
    </row>
    <row r="250" spans="1:4" hidden="1" x14ac:dyDescent="0.25">
      <c r="A250">
        <v>19229</v>
      </c>
      <c r="B250" t="s">
        <v>254</v>
      </c>
      <c r="C250" t="s">
        <v>258</v>
      </c>
      <c r="D250" t="str">
        <f>VLOOKUP(A250,'[1]PRODUTOS E CESTAS'!$C:$G,5,0)</f>
        <v>SINGLE</v>
      </c>
    </row>
    <row r="251" spans="1:4" hidden="1" x14ac:dyDescent="0.25">
      <c r="A251">
        <v>21666</v>
      </c>
      <c r="B251" t="s">
        <v>254</v>
      </c>
      <c r="C251" t="s">
        <v>259</v>
      </c>
      <c r="D251" t="str">
        <f>VLOOKUP(A251,'[1]PRODUTOS E CESTAS'!$C:$G,5,0)</f>
        <v>SINGLE</v>
      </c>
    </row>
    <row r="252" spans="1:4" hidden="1" x14ac:dyDescent="0.25">
      <c r="A252">
        <v>34420</v>
      </c>
      <c r="B252" t="s">
        <v>254</v>
      </c>
      <c r="C252" t="s">
        <v>260</v>
      </c>
      <c r="D252" t="str">
        <f>VLOOKUP(A252,'[1]PRODUTOS E CESTAS'!$C:$G,5,0)</f>
        <v>SINGLE</v>
      </c>
    </row>
    <row r="253" spans="1:4" hidden="1" x14ac:dyDescent="0.25">
      <c r="A253">
        <v>34770</v>
      </c>
      <c r="B253" t="s">
        <v>254</v>
      </c>
      <c r="C253" t="s">
        <v>261</v>
      </c>
      <c r="D253" t="str">
        <f>VLOOKUP(A253,'[1]PRODUTOS E CESTAS'!$C:$G,5,0)</f>
        <v>SINGLE</v>
      </c>
    </row>
    <row r="254" spans="1:4" hidden="1" x14ac:dyDescent="0.25">
      <c r="A254">
        <v>24306</v>
      </c>
      <c r="B254" t="s">
        <v>254</v>
      </c>
      <c r="C254" t="s">
        <v>262</v>
      </c>
      <c r="D254" t="s">
        <v>308</v>
      </c>
    </row>
    <row r="255" spans="1:4" hidden="1" x14ac:dyDescent="0.25">
      <c r="A255">
        <v>21781</v>
      </c>
      <c r="B255" t="s">
        <v>263</v>
      </c>
      <c r="C255" t="s">
        <v>264</v>
      </c>
      <c r="D255" t="s">
        <v>308</v>
      </c>
    </row>
    <row r="256" spans="1:4" hidden="1" x14ac:dyDescent="0.25">
      <c r="A256">
        <v>12791</v>
      </c>
      <c r="B256" t="s">
        <v>263</v>
      </c>
      <c r="C256" t="s">
        <v>265</v>
      </c>
      <c r="D256" t="s">
        <v>308</v>
      </c>
    </row>
    <row r="257" spans="1:4" hidden="1" x14ac:dyDescent="0.25">
      <c r="A257">
        <v>32854</v>
      </c>
      <c r="B257" t="s">
        <v>263</v>
      </c>
      <c r="C257" t="s">
        <v>266</v>
      </c>
      <c r="D257" t="s">
        <v>308</v>
      </c>
    </row>
    <row r="258" spans="1:4" hidden="1" x14ac:dyDescent="0.25">
      <c r="A258">
        <v>34608</v>
      </c>
      <c r="B258" t="s">
        <v>4</v>
      </c>
      <c r="C258" t="s">
        <v>267</v>
      </c>
      <c r="D258" t="str">
        <f>VLOOKUP(A258,'[1]PRODUTOS E CESTAS'!$C:$G,5,0)</f>
        <v>OW</v>
      </c>
    </row>
    <row r="259" spans="1:4" hidden="1" x14ac:dyDescent="0.25">
      <c r="A259">
        <v>6183</v>
      </c>
      <c r="B259" t="s">
        <v>263</v>
      </c>
      <c r="C259" t="s">
        <v>268</v>
      </c>
      <c r="D259" t="s">
        <v>308</v>
      </c>
    </row>
    <row r="260" spans="1:4" hidden="1" x14ac:dyDescent="0.25">
      <c r="A260">
        <v>33734</v>
      </c>
      <c r="B260" t="s">
        <v>32</v>
      </c>
      <c r="C260" t="s">
        <v>269</v>
      </c>
      <c r="D260" t="s">
        <v>6</v>
      </c>
    </row>
    <row r="261" spans="1:4" hidden="1" x14ac:dyDescent="0.25">
      <c r="A261">
        <v>33820</v>
      </c>
      <c r="B261" t="s">
        <v>4</v>
      </c>
      <c r="C261" t="s">
        <v>270</v>
      </c>
      <c r="D261" t="str">
        <f>VLOOKUP(A261,'[1]PRODUTOS E CESTAS'!$C:$G,5,0)</f>
        <v>OW</v>
      </c>
    </row>
    <row r="262" spans="1:4" hidden="1" x14ac:dyDescent="0.25">
      <c r="A262">
        <v>25189</v>
      </c>
      <c r="B262" t="s">
        <v>263</v>
      </c>
      <c r="C262" t="s">
        <v>271</v>
      </c>
      <c r="D262" t="s">
        <v>308</v>
      </c>
    </row>
    <row r="263" spans="1:4" hidden="1" x14ac:dyDescent="0.25">
      <c r="A263">
        <v>25178</v>
      </c>
      <c r="B263" t="s">
        <v>263</v>
      </c>
      <c r="C263" t="s">
        <v>272</v>
      </c>
      <c r="D263" t="s">
        <v>308</v>
      </c>
    </row>
    <row r="264" spans="1:4" hidden="1" x14ac:dyDescent="0.25">
      <c r="A264">
        <v>25174</v>
      </c>
      <c r="B264" t="s">
        <v>263</v>
      </c>
      <c r="C264" t="s">
        <v>273</v>
      </c>
      <c r="D264" t="s">
        <v>308</v>
      </c>
    </row>
    <row r="265" spans="1:4" hidden="1" x14ac:dyDescent="0.25">
      <c r="A265">
        <v>25176</v>
      </c>
      <c r="B265" t="s">
        <v>263</v>
      </c>
      <c r="C265" t="s">
        <v>274</v>
      </c>
      <c r="D265" t="s">
        <v>308</v>
      </c>
    </row>
    <row r="266" spans="1:4" hidden="1" x14ac:dyDescent="0.25">
      <c r="A266">
        <v>6181</v>
      </c>
      <c r="B266" t="s">
        <v>263</v>
      </c>
      <c r="C266" t="s">
        <v>275</v>
      </c>
      <c r="D266" t="s">
        <v>308</v>
      </c>
    </row>
    <row r="267" spans="1:4" hidden="1" x14ac:dyDescent="0.25">
      <c r="A267">
        <v>6185</v>
      </c>
      <c r="B267" t="s">
        <v>263</v>
      </c>
      <c r="C267" t="s">
        <v>276</v>
      </c>
      <c r="D267" t="s">
        <v>308</v>
      </c>
    </row>
    <row r="268" spans="1:4" hidden="1" x14ac:dyDescent="0.25">
      <c r="A268">
        <v>29197</v>
      </c>
      <c r="B268" t="s">
        <v>263</v>
      </c>
      <c r="C268" t="s">
        <v>277</v>
      </c>
      <c r="D268" t="s">
        <v>308</v>
      </c>
    </row>
    <row r="269" spans="1:4" hidden="1" x14ac:dyDescent="0.25">
      <c r="A269">
        <v>33738</v>
      </c>
      <c r="B269" t="s">
        <v>32</v>
      </c>
      <c r="C269" t="s">
        <v>278</v>
      </c>
      <c r="D269" t="s">
        <v>6</v>
      </c>
    </row>
    <row r="270" spans="1:4" hidden="1" x14ac:dyDescent="0.25">
      <c r="A270">
        <v>32528</v>
      </c>
      <c r="B270" t="s">
        <v>263</v>
      </c>
      <c r="C270" t="s">
        <v>279</v>
      </c>
      <c r="D270" t="s">
        <v>308</v>
      </c>
    </row>
    <row r="271" spans="1:4" hidden="1" x14ac:dyDescent="0.25">
      <c r="A271">
        <v>10763</v>
      </c>
      <c r="B271" t="s">
        <v>263</v>
      </c>
      <c r="C271" t="s">
        <v>280</v>
      </c>
      <c r="D271" t="s">
        <v>308</v>
      </c>
    </row>
    <row r="272" spans="1:4" hidden="1" x14ac:dyDescent="0.25">
      <c r="A272">
        <v>10765</v>
      </c>
      <c r="B272" t="s">
        <v>263</v>
      </c>
      <c r="C272" t="s">
        <v>281</v>
      </c>
      <c r="D272" t="s">
        <v>308</v>
      </c>
    </row>
    <row r="273" spans="1:4" hidden="1" x14ac:dyDescent="0.25">
      <c r="A273">
        <v>6394</v>
      </c>
      <c r="B273" t="s">
        <v>263</v>
      </c>
      <c r="C273" t="s">
        <v>282</v>
      </c>
      <c r="D273" t="s">
        <v>308</v>
      </c>
    </row>
    <row r="274" spans="1:4" hidden="1" x14ac:dyDescent="0.25">
      <c r="A274">
        <v>24258</v>
      </c>
      <c r="B274" t="s">
        <v>263</v>
      </c>
      <c r="C274" t="s">
        <v>283</v>
      </c>
      <c r="D274" t="s">
        <v>308</v>
      </c>
    </row>
    <row r="275" spans="1:4" hidden="1" x14ac:dyDescent="0.25">
      <c r="A275">
        <v>29733</v>
      </c>
      <c r="B275" t="s">
        <v>263</v>
      </c>
      <c r="C275" t="s">
        <v>284</v>
      </c>
      <c r="D275" t="s">
        <v>308</v>
      </c>
    </row>
    <row r="276" spans="1:4" hidden="1" x14ac:dyDescent="0.25">
      <c r="A276">
        <v>34394</v>
      </c>
      <c r="B276" t="s">
        <v>263</v>
      </c>
      <c r="C276" t="s">
        <v>285</v>
      </c>
      <c r="D276" t="s">
        <v>308</v>
      </c>
    </row>
    <row r="277" spans="1:4" hidden="1" x14ac:dyDescent="0.25">
      <c r="A277">
        <v>34393</v>
      </c>
      <c r="B277" t="s">
        <v>263</v>
      </c>
      <c r="C277" t="s">
        <v>286</v>
      </c>
      <c r="D277" t="s">
        <v>308</v>
      </c>
    </row>
    <row r="278" spans="1:4" hidden="1" x14ac:dyDescent="0.25">
      <c r="A278">
        <v>34416</v>
      </c>
      <c r="B278" t="s">
        <v>263</v>
      </c>
      <c r="C278" t="s">
        <v>287</v>
      </c>
      <c r="D278" t="s">
        <v>308</v>
      </c>
    </row>
    <row r="279" spans="1:4" hidden="1" x14ac:dyDescent="0.25">
      <c r="A279">
        <v>34820</v>
      </c>
      <c r="B279" t="s">
        <v>263</v>
      </c>
      <c r="C279" t="s">
        <v>288</v>
      </c>
      <c r="D279" t="s">
        <v>308</v>
      </c>
    </row>
    <row r="280" spans="1:4" hidden="1" x14ac:dyDescent="0.25">
      <c r="A280">
        <v>34821</v>
      </c>
      <c r="B280" t="s">
        <v>263</v>
      </c>
      <c r="C280" t="s">
        <v>289</v>
      </c>
      <c r="D280" t="s">
        <v>308</v>
      </c>
    </row>
    <row r="281" spans="1:4" hidden="1" x14ac:dyDescent="0.25">
      <c r="A281">
        <v>22003</v>
      </c>
      <c r="B281" t="s">
        <v>263</v>
      </c>
      <c r="C281" t="s">
        <v>290</v>
      </c>
      <c r="D281" t="s">
        <v>308</v>
      </c>
    </row>
    <row r="282" spans="1:4" hidden="1" x14ac:dyDescent="0.25">
      <c r="A282">
        <v>22007</v>
      </c>
      <c r="B282" t="s">
        <v>263</v>
      </c>
      <c r="C282" t="s">
        <v>291</v>
      </c>
      <c r="D282" t="s">
        <v>308</v>
      </c>
    </row>
    <row r="283" spans="1:4" hidden="1" x14ac:dyDescent="0.25">
      <c r="A283">
        <v>22005</v>
      </c>
      <c r="B283" t="s">
        <v>263</v>
      </c>
      <c r="C283" t="s">
        <v>292</v>
      </c>
      <c r="D283" t="s">
        <v>308</v>
      </c>
    </row>
    <row r="284" spans="1:4" hidden="1" x14ac:dyDescent="0.25">
      <c r="A284">
        <v>27177</v>
      </c>
      <c r="B284" t="s">
        <v>263</v>
      </c>
      <c r="C284" t="s">
        <v>293</v>
      </c>
      <c r="D284" t="s">
        <v>308</v>
      </c>
    </row>
    <row r="285" spans="1:4" hidden="1" x14ac:dyDescent="0.25">
      <c r="A285">
        <v>34410</v>
      </c>
      <c r="B285" t="s">
        <v>263</v>
      </c>
      <c r="C285" t="s">
        <v>294</v>
      </c>
      <c r="D285" t="s">
        <v>308</v>
      </c>
    </row>
    <row r="286" spans="1:4" hidden="1" x14ac:dyDescent="0.25">
      <c r="A286">
        <v>34296</v>
      </c>
      <c r="B286" t="s">
        <v>263</v>
      </c>
      <c r="C286" t="s">
        <v>295</v>
      </c>
      <c r="D286" t="s">
        <v>308</v>
      </c>
    </row>
    <row r="287" spans="1:4" hidden="1" x14ac:dyDescent="0.25">
      <c r="A287">
        <v>21968</v>
      </c>
      <c r="B287" t="s">
        <v>263</v>
      </c>
      <c r="C287" t="s">
        <v>296</v>
      </c>
      <c r="D287" t="s">
        <v>308</v>
      </c>
    </row>
    <row r="288" spans="1:4" hidden="1" x14ac:dyDescent="0.25">
      <c r="A288">
        <v>21970</v>
      </c>
      <c r="B288" t="s">
        <v>263</v>
      </c>
      <c r="C288" t="s">
        <v>297</v>
      </c>
      <c r="D288" t="s">
        <v>308</v>
      </c>
    </row>
    <row r="289" spans="1:4" hidden="1" x14ac:dyDescent="0.25">
      <c r="A289">
        <v>26099</v>
      </c>
      <c r="B289" t="s">
        <v>263</v>
      </c>
      <c r="C289" t="s">
        <v>298</v>
      </c>
      <c r="D289" t="s">
        <v>308</v>
      </c>
    </row>
    <row r="290" spans="1:4" hidden="1" x14ac:dyDescent="0.25">
      <c r="A290">
        <v>27179</v>
      </c>
      <c r="B290" t="s">
        <v>263</v>
      </c>
      <c r="C290" t="s">
        <v>299</v>
      </c>
      <c r="D290" t="s">
        <v>308</v>
      </c>
    </row>
    <row r="291" spans="1:4" hidden="1" x14ac:dyDescent="0.25">
      <c r="A291">
        <v>21974</v>
      </c>
      <c r="B291" t="s">
        <v>263</v>
      </c>
      <c r="C291" t="s">
        <v>300</v>
      </c>
      <c r="D291" t="s">
        <v>308</v>
      </c>
    </row>
    <row r="292" spans="1:4" hidden="1" x14ac:dyDescent="0.25">
      <c r="A292">
        <v>34779</v>
      </c>
      <c r="B292" t="s">
        <v>263</v>
      </c>
      <c r="C292" t="s">
        <v>301</v>
      </c>
      <c r="D292" t="s">
        <v>308</v>
      </c>
    </row>
    <row r="293" spans="1:4" hidden="1" x14ac:dyDescent="0.25">
      <c r="A293">
        <v>35003</v>
      </c>
      <c r="B293" t="s">
        <v>263</v>
      </c>
      <c r="C293" t="s">
        <v>302</v>
      </c>
      <c r="D293" t="s">
        <v>308</v>
      </c>
    </row>
    <row r="294" spans="1:4" hidden="1" x14ac:dyDescent="0.25">
      <c r="A294">
        <v>34608</v>
      </c>
      <c r="B294" t="s">
        <v>4</v>
      </c>
      <c r="C294" t="s">
        <v>267</v>
      </c>
      <c r="D294" t="str">
        <f>VLOOKUP(A294,'[1]PRODUTOS E CESTAS'!$C:$G,5,0)</f>
        <v>OW</v>
      </c>
    </row>
    <row r="295" spans="1:4" hidden="1" x14ac:dyDescent="0.25">
      <c r="A295">
        <v>33820</v>
      </c>
      <c r="B295" t="s">
        <v>4</v>
      </c>
      <c r="C295" t="s">
        <v>270</v>
      </c>
      <c r="D295" t="str">
        <f>VLOOKUP(A295,'[1]PRODUTOS E CESTAS'!$C:$G,5,0)</f>
        <v>OW</v>
      </c>
    </row>
    <row r="296" spans="1:4" hidden="1" x14ac:dyDescent="0.25">
      <c r="A296">
        <v>34608</v>
      </c>
      <c r="B296" t="s">
        <v>4</v>
      </c>
      <c r="C296" t="s">
        <v>267</v>
      </c>
      <c r="D296" t="str">
        <f>VLOOKUP(A296,'[1]PRODUTOS E CESTAS'!$C:$G,5,0)</f>
        <v>OW</v>
      </c>
    </row>
    <row r="297" spans="1:4" hidden="1" x14ac:dyDescent="0.25">
      <c r="A297">
        <v>33820</v>
      </c>
      <c r="B297" t="s">
        <v>4</v>
      </c>
      <c r="C297" t="s">
        <v>270</v>
      </c>
      <c r="D297" t="str">
        <f>VLOOKUP(A297,'[1]PRODUTOS E CESTAS'!$C:$G,5,0)</f>
        <v>OW</v>
      </c>
    </row>
    <row r="298" spans="1:4" hidden="1" x14ac:dyDescent="0.25">
      <c r="A298">
        <v>34608</v>
      </c>
      <c r="B298" t="s">
        <v>4</v>
      </c>
      <c r="C298" t="s">
        <v>267</v>
      </c>
      <c r="D298" t="str">
        <f>VLOOKUP(A298,'[1]PRODUTOS E CESTAS'!$C:$G,5,0)</f>
        <v>OW</v>
      </c>
    </row>
    <row r="299" spans="1:4" hidden="1" x14ac:dyDescent="0.25">
      <c r="A299">
        <v>33820</v>
      </c>
      <c r="B299" t="s">
        <v>4</v>
      </c>
      <c r="C299" t="s">
        <v>270</v>
      </c>
      <c r="D299" t="str">
        <f>VLOOKUP(A299,'[1]PRODUTOS E CESTAS'!$C:$G,5,0)</f>
        <v>OW</v>
      </c>
    </row>
    <row r="300" spans="1:4" hidden="1" x14ac:dyDescent="0.25">
      <c r="A300">
        <v>21788</v>
      </c>
      <c r="B300" t="s">
        <v>263</v>
      </c>
      <c r="C300" t="s">
        <v>335</v>
      </c>
      <c r="D300" t="s">
        <v>308</v>
      </c>
    </row>
    <row r="301" spans="1:4" hidden="1" x14ac:dyDescent="0.25">
      <c r="A301">
        <v>21791</v>
      </c>
      <c r="B301" t="s">
        <v>263</v>
      </c>
      <c r="C301" t="s">
        <v>336</v>
      </c>
      <c r="D301" t="s">
        <v>308</v>
      </c>
    </row>
    <row r="302" spans="1:4" hidden="1" x14ac:dyDescent="0.25">
      <c r="A302">
        <v>26627</v>
      </c>
      <c r="B302" t="s">
        <v>263</v>
      </c>
      <c r="C302" t="s">
        <v>337</v>
      </c>
      <c r="D302" t="s">
        <v>308</v>
      </c>
    </row>
    <row r="303" spans="1:4" hidden="1" x14ac:dyDescent="0.25">
      <c r="A303">
        <v>35617</v>
      </c>
      <c r="B303" t="s">
        <v>32</v>
      </c>
      <c r="C303" t="s">
        <v>338</v>
      </c>
      <c r="D303" t="s">
        <v>6</v>
      </c>
    </row>
    <row r="304" spans="1:4" hidden="1" x14ac:dyDescent="0.25">
      <c r="A304">
        <v>31582</v>
      </c>
      <c r="B304" t="s">
        <v>263</v>
      </c>
      <c r="C304" t="s">
        <v>339</v>
      </c>
      <c r="D304" t="s">
        <v>308</v>
      </c>
    </row>
    <row r="305" spans="1:4" hidden="1" x14ac:dyDescent="0.25">
      <c r="A305">
        <v>33042</v>
      </c>
      <c r="B305" t="s">
        <v>263</v>
      </c>
      <c r="C305" t="s">
        <v>340</v>
      </c>
      <c r="D305" t="s">
        <v>308</v>
      </c>
    </row>
    <row r="306" spans="1:4" x14ac:dyDescent="0.25">
      <c r="A306">
        <v>34027</v>
      </c>
      <c r="B306" t="s">
        <v>211</v>
      </c>
      <c r="C306" t="s">
        <v>341</v>
      </c>
      <c r="D306" t="str">
        <f>VLOOKUP(A306,'[2]PRODUTOS E CESTAS'!$C:$G,5,0)</f>
        <v>SINGLE</v>
      </c>
    </row>
    <row r="307" spans="1:4" x14ac:dyDescent="0.25">
      <c r="A307">
        <v>34320</v>
      </c>
      <c r="B307" t="s">
        <v>213</v>
      </c>
      <c r="C307" t="s">
        <v>342</v>
      </c>
      <c r="D307" t="str">
        <f>VLOOKUP(A307,'[2]PRODUTOS E CESTAS'!$C:$G,5,0)</f>
        <v>SINGLE</v>
      </c>
    </row>
    <row r="308" spans="1:4" hidden="1" x14ac:dyDescent="0.25">
      <c r="A308">
        <v>34412</v>
      </c>
      <c r="B308" t="s">
        <v>263</v>
      </c>
      <c r="C308" t="s">
        <v>343</v>
      </c>
      <c r="D308" t="s">
        <v>308</v>
      </c>
    </row>
    <row r="309" spans="1:4" hidden="1" x14ac:dyDescent="0.25">
      <c r="A309">
        <v>34414</v>
      </c>
      <c r="B309" t="s">
        <v>263</v>
      </c>
      <c r="C309" t="s">
        <v>344</v>
      </c>
      <c r="D309" t="s">
        <v>308</v>
      </c>
    </row>
    <row r="310" spans="1:4" hidden="1" x14ac:dyDescent="0.25">
      <c r="A310">
        <v>34656</v>
      </c>
      <c r="B310" t="s">
        <v>263</v>
      </c>
      <c r="C310" t="s">
        <v>345</v>
      </c>
      <c r="D310" t="s">
        <v>308</v>
      </c>
    </row>
    <row r="311" spans="1:4" hidden="1" x14ac:dyDescent="0.25">
      <c r="A311">
        <v>21530</v>
      </c>
      <c r="B311" t="s">
        <v>263</v>
      </c>
      <c r="C311" t="s">
        <v>346</v>
      </c>
      <c r="D311" t="s">
        <v>308</v>
      </c>
    </row>
    <row r="312" spans="1:4" hidden="1" x14ac:dyDescent="0.25">
      <c r="A312">
        <v>25220</v>
      </c>
      <c r="B312" t="s">
        <v>263</v>
      </c>
      <c r="C312" t="s">
        <v>347</v>
      </c>
      <c r="D312" t="s">
        <v>308</v>
      </c>
    </row>
    <row r="313" spans="1:4" hidden="1" x14ac:dyDescent="0.25">
      <c r="A313">
        <v>37583</v>
      </c>
      <c r="B313" t="s">
        <v>263</v>
      </c>
      <c r="C313" t="s">
        <v>348</v>
      </c>
      <c r="D313" t="s">
        <v>308</v>
      </c>
    </row>
    <row r="314" spans="1:4" hidden="1" x14ac:dyDescent="0.25">
      <c r="A314">
        <v>32122</v>
      </c>
      <c r="B314" t="s">
        <v>263</v>
      </c>
      <c r="C314" t="s">
        <v>349</v>
      </c>
      <c r="D314" t="s">
        <v>308</v>
      </c>
    </row>
    <row r="315" spans="1:4" hidden="1" x14ac:dyDescent="0.25">
      <c r="A315">
        <v>838</v>
      </c>
      <c r="B315" t="s">
        <v>303</v>
      </c>
      <c r="C315" t="s">
        <v>350</v>
      </c>
      <c r="D315" t="s">
        <v>303</v>
      </c>
    </row>
    <row r="316" spans="1:4" hidden="1" x14ac:dyDescent="0.25">
      <c r="A316">
        <v>21973</v>
      </c>
      <c r="B316" t="s">
        <v>263</v>
      </c>
      <c r="C316" t="s">
        <v>351</v>
      </c>
      <c r="D316" t="s">
        <v>308</v>
      </c>
    </row>
    <row r="317" spans="1:4" hidden="1" x14ac:dyDescent="0.25">
      <c r="A317">
        <v>37576</v>
      </c>
      <c r="B317" t="s">
        <v>263</v>
      </c>
      <c r="C317" t="s">
        <v>352</v>
      </c>
      <c r="D317" t="s">
        <v>308</v>
      </c>
    </row>
    <row r="318" spans="1:4" hidden="1" x14ac:dyDescent="0.25">
      <c r="A318">
        <v>21526</v>
      </c>
      <c r="B318" t="s">
        <v>263</v>
      </c>
      <c r="C318" t="s">
        <v>353</v>
      </c>
      <c r="D318" t="s">
        <v>308</v>
      </c>
    </row>
    <row r="319" spans="1:4" hidden="1" x14ac:dyDescent="0.25">
      <c r="A319">
        <v>21529</v>
      </c>
      <c r="B319" t="s">
        <v>263</v>
      </c>
      <c r="C319" t="s">
        <v>354</v>
      </c>
      <c r="D319" t="s">
        <v>308</v>
      </c>
    </row>
    <row r="320" spans="1:4" hidden="1" x14ac:dyDescent="0.25">
      <c r="A320">
        <v>21792</v>
      </c>
      <c r="B320" t="s">
        <v>263</v>
      </c>
      <c r="C320" t="s">
        <v>355</v>
      </c>
      <c r="D320" t="s">
        <v>308</v>
      </c>
    </row>
    <row r="321" spans="1:4" hidden="1" x14ac:dyDescent="0.25">
      <c r="A321">
        <v>25151</v>
      </c>
      <c r="B321" t="s">
        <v>263</v>
      </c>
      <c r="C321" t="s">
        <v>356</v>
      </c>
      <c r="D321" t="s">
        <v>308</v>
      </c>
    </row>
    <row r="322" spans="1:4" hidden="1" x14ac:dyDescent="0.25">
      <c r="A322">
        <v>37579</v>
      </c>
      <c r="B322" t="s">
        <v>263</v>
      </c>
      <c r="C322" t="s">
        <v>357</v>
      </c>
      <c r="D322" t="s">
        <v>308</v>
      </c>
    </row>
    <row r="323" spans="1:4" hidden="1" x14ac:dyDescent="0.25">
      <c r="A323">
        <v>37580</v>
      </c>
      <c r="B323" t="s">
        <v>263</v>
      </c>
      <c r="C323" t="s">
        <v>358</v>
      </c>
      <c r="D323" t="s">
        <v>308</v>
      </c>
    </row>
    <row r="324" spans="1:4" hidden="1" x14ac:dyDescent="0.25">
      <c r="A324">
        <v>37581</v>
      </c>
      <c r="B324" t="s">
        <v>263</v>
      </c>
      <c r="C324" t="s">
        <v>359</v>
      </c>
      <c r="D324" t="s">
        <v>308</v>
      </c>
    </row>
    <row r="325" spans="1:4" hidden="1" x14ac:dyDescent="0.25">
      <c r="A325">
        <v>37582</v>
      </c>
      <c r="B325" t="s">
        <v>263</v>
      </c>
      <c r="C325" t="s">
        <v>360</v>
      </c>
      <c r="D325" t="s">
        <v>308</v>
      </c>
    </row>
    <row r="326" spans="1:4" hidden="1" x14ac:dyDescent="0.25">
      <c r="A326">
        <v>31669</v>
      </c>
      <c r="B326" t="s">
        <v>263</v>
      </c>
      <c r="C326" t="s">
        <v>361</v>
      </c>
      <c r="D326" t="s">
        <v>308</v>
      </c>
    </row>
    <row r="327" spans="1:4" hidden="1" x14ac:dyDescent="0.25">
      <c r="A327">
        <v>23028</v>
      </c>
      <c r="B327" t="s">
        <v>263</v>
      </c>
      <c r="C327" t="s">
        <v>362</v>
      </c>
      <c r="D327" t="s">
        <v>308</v>
      </c>
    </row>
    <row r="328" spans="1:4" hidden="1" x14ac:dyDescent="0.25">
      <c r="A328">
        <v>34783</v>
      </c>
      <c r="B328" t="s">
        <v>263</v>
      </c>
      <c r="C328" t="s">
        <v>363</v>
      </c>
      <c r="D328" t="s">
        <v>308</v>
      </c>
    </row>
    <row r="329" spans="1:4" hidden="1" x14ac:dyDescent="0.25">
      <c r="A329">
        <v>24409</v>
      </c>
      <c r="B329" t="s">
        <v>263</v>
      </c>
      <c r="C329" t="s">
        <v>364</v>
      </c>
      <c r="D329" t="s">
        <v>308</v>
      </c>
    </row>
    <row r="330" spans="1:4" hidden="1" x14ac:dyDescent="0.25">
      <c r="A330">
        <v>23443</v>
      </c>
      <c r="B330" t="s">
        <v>263</v>
      </c>
      <c r="C330" t="s">
        <v>365</v>
      </c>
      <c r="D330" t="s">
        <v>308</v>
      </c>
    </row>
    <row r="331" spans="1:4" hidden="1" x14ac:dyDescent="0.25">
      <c r="A331">
        <v>22562</v>
      </c>
      <c r="B331" t="s">
        <v>263</v>
      </c>
      <c r="C331" t="s">
        <v>366</v>
      </c>
      <c r="D331" t="s">
        <v>308</v>
      </c>
    </row>
    <row r="332" spans="1:4" hidden="1" x14ac:dyDescent="0.25">
      <c r="A332">
        <v>28700</v>
      </c>
      <c r="B332" t="s">
        <v>263</v>
      </c>
      <c r="C332" t="s">
        <v>367</v>
      </c>
      <c r="D332" t="s">
        <v>308</v>
      </c>
    </row>
    <row r="333" spans="1:4" hidden="1" x14ac:dyDescent="0.25">
      <c r="A333">
        <v>23184</v>
      </c>
      <c r="B333" t="s">
        <v>263</v>
      </c>
      <c r="C333" t="s">
        <v>368</v>
      </c>
      <c r="D333" t="s">
        <v>308</v>
      </c>
    </row>
    <row r="334" spans="1:4" hidden="1" x14ac:dyDescent="0.25">
      <c r="A334">
        <v>22106</v>
      </c>
      <c r="B334" t="s">
        <v>263</v>
      </c>
      <c r="C334" t="s">
        <v>369</v>
      </c>
      <c r="D334" t="s">
        <v>308</v>
      </c>
    </row>
    <row r="335" spans="1:4" hidden="1" x14ac:dyDescent="0.25">
      <c r="A335">
        <v>31972</v>
      </c>
      <c r="B335" t="s">
        <v>263</v>
      </c>
      <c r="C335" t="s">
        <v>370</v>
      </c>
      <c r="D335" t="s">
        <v>308</v>
      </c>
    </row>
    <row r="336" spans="1:4" hidden="1" x14ac:dyDescent="0.25">
      <c r="A336">
        <v>34977</v>
      </c>
      <c r="B336" t="s">
        <v>263</v>
      </c>
      <c r="C336" t="s">
        <v>371</v>
      </c>
      <c r="D336" t="s">
        <v>308</v>
      </c>
    </row>
    <row r="337" spans="1:4" hidden="1" x14ac:dyDescent="0.25">
      <c r="A337">
        <v>25194</v>
      </c>
      <c r="B337" t="s">
        <v>263</v>
      </c>
      <c r="C337" t="s">
        <v>372</v>
      </c>
      <c r="D337" t="s">
        <v>308</v>
      </c>
    </row>
    <row r="338" spans="1:4" hidden="1" x14ac:dyDescent="0.25">
      <c r="A338">
        <v>34298</v>
      </c>
      <c r="B338" t="s">
        <v>263</v>
      </c>
      <c r="C338" t="s">
        <v>373</v>
      </c>
      <c r="D338" t="s">
        <v>308</v>
      </c>
    </row>
    <row r="339" spans="1:4" hidden="1" x14ac:dyDescent="0.25">
      <c r="A339">
        <v>28241</v>
      </c>
      <c r="B339" t="s">
        <v>263</v>
      </c>
      <c r="C339" t="s">
        <v>374</v>
      </c>
      <c r="D339" t="s">
        <v>308</v>
      </c>
    </row>
    <row r="340" spans="1:4" hidden="1" x14ac:dyDescent="0.25">
      <c r="A340">
        <v>34980</v>
      </c>
      <c r="B340" t="s">
        <v>263</v>
      </c>
      <c r="C340" t="s">
        <v>375</v>
      </c>
      <c r="D340" t="s">
        <v>308</v>
      </c>
    </row>
    <row r="341" spans="1:4" hidden="1" x14ac:dyDescent="0.25">
      <c r="A341">
        <v>34982</v>
      </c>
      <c r="B341" t="s">
        <v>263</v>
      </c>
      <c r="C341" t="s">
        <v>376</v>
      </c>
      <c r="D341" t="s">
        <v>308</v>
      </c>
    </row>
    <row r="342" spans="1:4" hidden="1" x14ac:dyDescent="0.25">
      <c r="A342">
        <v>31667</v>
      </c>
      <c r="B342" t="s">
        <v>263</v>
      </c>
      <c r="C342" t="s">
        <v>377</v>
      </c>
      <c r="D342" t="s">
        <v>308</v>
      </c>
    </row>
    <row r="343" spans="1:4" hidden="1" x14ac:dyDescent="0.25">
      <c r="A343">
        <v>34976</v>
      </c>
      <c r="B343" t="s">
        <v>263</v>
      </c>
      <c r="C343" t="s">
        <v>378</v>
      </c>
      <c r="D343" t="s">
        <v>308</v>
      </c>
    </row>
    <row r="344" spans="1:4" hidden="1" x14ac:dyDescent="0.25">
      <c r="A344">
        <v>6508</v>
      </c>
      <c r="B344" t="s">
        <v>263</v>
      </c>
      <c r="C344" t="s">
        <v>379</v>
      </c>
      <c r="D344" t="s">
        <v>308</v>
      </c>
    </row>
    <row r="345" spans="1:4" hidden="1" x14ac:dyDescent="0.25">
      <c r="A345">
        <v>23029</v>
      </c>
      <c r="B345" t="s">
        <v>263</v>
      </c>
      <c r="C345" t="s">
        <v>380</v>
      </c>
      <c r="D345" t="s">
        <v>308</v>
      </c>
    </row>
    <row r="346" spans="1:4" hidden="1" x14ac:dyDescent="0.25">
      <c r="A346">
        <v>34413</v>
      </c>
      <c r="B346" t="s">
        <v>263</v>
      </c>
      <c r="C346" t="s">
        <v>381</v>
      </c>
      <c r="D346" t="s">
        <v>308</v>
      </c>
    </row>
    <row r="347" spans="1:4" hidden="1" x14ac:dyDescent="0.25">
      <c r="A347">
        <v>25160</v>
      </c>
      <c r="B347" t="s">
        <v>263</v>
      </c>
      <c r="C347" t="s">
        <v>382</v>
      </c>
      <c r="D347" t="s">
        <v>308</v>
      </c>
    </row>
    <row r="348" spans="1:4" hidden="1" x14ac:dyDescent="0.25">
      <c r="A348">
        <v>35331</v>
      </c>
      <c r="B348" t="s">
        <v>4</v>
      </c>
      <c r="C348" t="s">
        <v>383</v>
      </c>
      <c r="D348" t="str">
        <f>VLOOKUP(A348,'[1]PRODUTOS E CESTAS'!$C:$G,5,0)</f>
        <v>RGB</v>
      </c>
    </row>
    <row r="349" spans="1:4" hidden="1" x14ac:dyDescent="0.25">
      <c r="A349">
        <v>34654</v>
      </c>
      <c r="B349" t="s">
        <v>263</v>
      </c>
      <c r="C349" t="s">
        <v>384</v>
      </c>
      <c r="D349" t="s">
        <v>308</v>
      </c>
    </row>
    <row r="350" spans="1:4" hidden="1" x14ac:dyDescent="0.25">
      <c r="A350">
        <v>34460</v>
      </c>
      <c r="B350" t="s">
        <v>263</v>
      </c>
      <c r="C350" t="s">
        <v>385</v>
      </c>
      <c r="D350" t="s">
        <v>308</v>
      </c>
    </row>
    <row r="351" spans="1:4" hidden="1" x14ac:dyDescent="0.25">
      <c r="A351">
        <v>25198</v>
      </c>
      <c r="B351" t="s">
        <v>263</v>
      </c>
      <c r="C351" t="s">
        <v>386</v>
      </c>
      <c r="D351" t="s">
        <v>308</v>
      </c>
    </row>
    <row r="352" spans="1:4" hidden="1" x14ac:dyDescent="0.25">
      <c r="A352">
        <v>34655</v>
      </c>
      <c r="B352" t="s">
        <v>263</v>
      </c>
      <c r="C352" t="s">
        <v>387</v>
      </c>
      <c r="D352" t="s">
        <v>308</v>
      </c>
    </row>
    <row r="353" spans="1:4" hidden="1" x14ac:dyDescent="0.25">
      <c r="A353">
        <v>29504</v>
      </c>
      <c r="B353" t="s">
        <v>263</v>
      </c>
      <c r="C353" t="s">
        <v>388</v>
      </c>
      <c r="D353" t="s">
        <v>308</v>
      </c>
    </row>
    <row r="354" spans="1:4" hidden="1" x14ac:dyDescent="0.25">
      <c r="A354">
        <v>34417</v>
      </c>
      <c r="B354" t="s">
        <v>263</v>
      </c>
      <c r="C354" t="s">
        <v>389</v>
      </c>
      <c r="D354" t="s">
        <v>308</v>
      </c>
    </row>
    <row r="355" spans="1:4" hidden="1" x14ac:dyDescent="0.25">
      <c r="A355">
        <v>34974</v>
      </c>
      <c r="B355" t="s">
        <v>263</v>
      </c>
      <c r="C355" t="s">
        <v>390</v>
      </c>
      <c r="D355" t="s">
        <v>308</v>
      </c>
    </row>
    <row r="356" spans="1:4" hidden="1" x14ac:dyDescent="0.25">
      <c r="A356">
        <v>34978</v>
      </c>
      <c r="B356" t="s">
        <v>263</v>
      </c>
      <c r="C356" t="s">
        <v>391</v>
      </c>
      <c r="D356" t="s">
        <v>308</v>
      </c>
    </row>
    <row r="357" spans="1:4" hidden="1" x14ac:dyDescent="0.25">
      <c r="A357">
        <v>34979</v>
      </c>
      <c r="B357" t="s">
        <v>263</v>
      </c>
      <c r="C357" t="s">
        <v>392</v>
      </c>
      <c r="D357" t="s">
        <v>308</v>
      </c>
    </row>
    <row r="358" spans="1:4" hidden="1" x14ac:dyDescent="0.25">
      <c r="A358">
        <v>34931</v>
      </c>
      <c r="B358" t="s">
        <v>263</v>
      </c>
      <c r="C358" t="s">
        <v>393</v>
      </c>
      <c r="D358" t="s">
        <v>308</v>
      </c>
    </row>
    <row r="359" spans="1:4" hidden="1" x14ac:dyDescent="0.25">
      <c r="A359">
        <v>31589</v>
      </c>
      <c r="B359" t="s">
        <v>263</v>
      </c>
      <c r="C359" t="s">
        <v>394</v>
      </c>
      <c r="D359" t="s">
        <v>308</v>
      </c>
    </row>
    <row r="360" spans="1:4" hidden="1" x14ac:dyDescent="0.25">
      <c r="A360">
        <v>37454</v>
      </c>
      <c r="B360" t="s">
        <v>263</v>
      </c>
      <c r="C360" t="s">
        <v>395</v>
      </c>
      <c r="D360" t="s">
        <v>308</v>
      </c>
    </row>
    <row r="361" spans="1:4" hidden="1" x14ac:dyDescent="0.25">
      <c r="A361">
        <v>32094</v>
      </c>
      <c r="B361" t="s">
        <v>263</v>
      </c>
      <c r="C361" t="s">
        <v>396</v>
      </c>
      <c r="D361" t="s">
        <v>308</v>
      </c>
    </row>
    <row r="362" spans="1:4" hidden="1" x14ac:dyDescent="0.25">
      <c r="A362">
        <v>21527</v>
      </c>
      <c r="B362" t="s">
        <v>263</v>
      </c>
      <c r="C362" t="s">
        <v>397</v>
      </c>
      <c r="D362" t="s">
        <v>308</v>
      </c>
    </row>
    <row r="363" spans="1:4" hidden="1" x14ac:dyDescent="0.25">
      <c r="A363">
        <v>21789</v>
      </c>
      <c r="B363" t="s">
        <v>263</v>
      </c>
      <c r="C363" t="s">
        <v>304</v>
      </c>
      <c r="D363" t="s">
        <v>308</v>
      </c>
    </row>
    <row r="364" spans="1:4" hidden="1" x14ac:dyDescent="0.25">
      <c r="A364">
        <v>35620</v>
      </c>
      <c r="B364" t="s">
        <v>32</v>
      </c>
      <c r="C364" t="s">
        <v>305</v>
      </c>
      <c r="D364" t="s">
        <v>6</v>
      </c>
    </row>
    <row r="365" spans="1:4" hidden="1" x14ac:dyDescent="0.25">
      <c r="A365">
        <v>34780</v>
      </c>
      <c r="B365" t="s">
        <v>263</v>
      </c>
      <c r="C365" t="s">
        <v>306</v>
      </c>
      <c r="D365" t="s">
        <v>308</v>
      </c>
    </row>
    <row r="366" spans="1:4" hidden="1" x14ac:dyDescent="0.25">
      <c r="A366">
        <v>34782</v>
      </c>
      <c r="B366" t="s">
        <v>263</v>
      </c>
      <c r="C366" t="s">
        <v>307</v>
      </c>
      <c r="D366" t="s">
        <v>308</v>
      </c>
    </row>
    <row r="367" spans="1:4" hidden="1" x14ac:dyDescent="0.25">
      <c r="A367">
        <v>37501</v>
      </c>
      <c r="B367" t="s">
        <v>263</v>
      </c>
      <c r="C367" t="s">
        <v>398</v>
      </c>
      <c r="D367" t="s">
        <v>308</v>
      </c>
    </row>
    <row r="368" spans="1:4" hidden="1" x14ac:dyDescent="0.25">
      <c r="A368">
        <v>37518</v>
      </c>
      <c r="B368" t="s">
        <v>263</v>
      </c>
      <c r="C368" t="s">
        <v>399</v>
      </c>
      <c r="D368" t="s">
        <v>308</v>
      </c>
    </row>
    <row r="369" spans="1:4" hidden="1" x14ac:dyDescent="0.25">
      <c r="A369">
        <v>37523</v>
      </c>
      <c r="B369" t="s">
        <v>263</v>
      </c>
      <c r="C369" t="s">
        <v>400</v>
      </c>
      <c r="D369" t="s">
        <v>308</v>
      </c>
    </row>
    <row r="370" spans="1:4" hidden="1" x14ac:dyDescent="0.25">
      <c r="A370">
        <v>37524</v>
      </c>
      <c r="B370" t="s">
        <v>263</v>
      </c>
      <c r="C370" t="s">
        <v>401</v>
      </c>
      <c r="D370" t="s">
        <v>308</v>
      </c>
    </row>
    <row r="371" spans="1:4" hidden="1" x14ac:dyDescent="0.25">
      <c r="A371">
        <v>37525</v>
      </c>
      <c r="B371" t="s">
        <v>263</v>
      </c>
      <c r="C371" t="s">
        <v>402</v>
      </c>
      <c r="D371" t="s">
        <v>308</v>
      </c>
    </row>
    <row r="372" spans="1:4" hidden="1" x14ac:dyDescent="0.25">
      <c r="A372">
        <v>37521</v>
      </c>
      <c r="B372" t="s">
        <v>263</v>
      </c>
      <c r="C372" t="s">
        <v>403</v>
      </c>
      <c r="D372" t="s">
        <v>308</v>
      </c>
    </row>
    <row r="373" spans="1:4" hidden="1" x14ac:dyDescent="0.25">
      <c r="A373">
        <v>27825</v>
      </c>
      <c r="B373" t="s">
        <v>263</v>
      </c>
      <c r="C373" t="s">
        <v>404</v>
      </c>
      <c r="D373" t="s">
        <v>308</v>
      </c>
    </row>
    <row r="374" spans="1:4" hidden="1" x14ac:dyDescent="0.25">
      <c r="A374">
        <v>29209</v>
      </c>
      <c r="B374" t="s">
        <v>263</v>
      </c>
      <c r="C374" t="s">
        <v>405</v>
      </c>
      <c r="D374" t="s">
        <v>308</v>
      </c>
    </row>
    <row r="375" spans="1:4" hidden="1" x14ac:dyDescent="0.25">
      <c r="A375">
        <v>29323</v>
      </c>
      <c r="B375" t="s">
        <v>263</v>
      </c>
      <c r="C375" t="s">
        <v>406</v>
      </c>
      <c r="D375" t="s">
        <v>308</v>
      </c>
    </row>
    <row r="376" spans="1:4" hidden="1" x14ac:dyDescent="0.25">
      <c r="A376">
        <v>29207</v>
      </c>
      <c r="B376" t="s">
        <v>263</v>
      </c>
      <c r="C376" t="s">
        <v>407</v>
      </c>
      <c r="D376" t="s">
        <v>308</v>
      </c>
    </row>
    <row r="377" spans="1:4" hidden="1" x14ac:dyDescent="0.25">
      <c r="A377">
        <v>29199</v>
      </c>
      <c r="B377" t="s">
        <v>263</v>
      </c>
      <c r="C377" t="s">
        <v>408</v>
      </c>
      <c r="D377" t="s">
        <v>308</v>
      </c>
    </row>
    <row r="378" spans="1:4" hidden="1" x14ac:dyDescent="0.25">
      <c r="A378">
        <v>32526</v>
      </c>
      <c r="B378" t="s">
        <v>263</v>
      </c>
      <c r="C378" t="s">
        <v>309</v>
      </c>
      <c r="D378" t="s">
        <v>308</v>
      </c>
    </row>
    <row r="379" spans="1:4" hidden="1" x14ac:dyDescent="0.25">
      <c r="A379">
        <v>22382</v>
      </c>
      <c r="B379" t="s">
        <v>263</v>
      </c>
      <c r="C379" t="s">
        <v>310</v>
      </c>
      <c r="D379" t="s">
        <v>308</v>
      </c>
    </row>
    <row r="380" spans="1:4" hidden="1" x14ac:dyDescent="0.25">
      <c r="A380">
        <v>37933</v>
      </c>
      <c r="B380" t="s">
        <v>263</v>
      </c>
      <c r="C380" t="s">
        <v>311</v>
      </c>
      <c r="D380" t="s">
        <v>308</v>
      </c>
    </row>
    <row r="381" spans="1:4" hidden="1" x14ac:dyDescent="0.25">
      <c r="A381">
        <v>37541</v>
      </c>
      <c r="B381" t="s">
        <v>263</v>
      </c>
      <c r="C381" t="s">
        <v>312</v>
      </c>
      <c r="D381" t="s">
        <v>308</v>
      </c>
    </row>
    <row r="382" spans="1:4" hidden="1" x14ac:dyDescent="0.25">
      <c r="A382">
        <v>29326</v>
      </c>
      <c r="B382" t="s">
        <v>263</v>
      </c>
      <c r="C382" t="s">
        <v>313</v>
      </c>
      <c r="D382" t="s">
        <v>308</v>
      </c>
    </row>
    <row r="383" spans="1:4" hidden="1" x14ac:dyDescent="0.25">
      <c r="A383">
        <v>34531</v>
      </c>
      <c r="B383" t="s">
        <v>263</v>
      </c>
      <c r="C383" t="s">
        <v>314</v>
      </c>
      <c r="D383" t="s">
        <v>308</v>
      </c>
    </row>
    <row r="384" spans="1:4" hidden="1" x14ac:dyDescent="0.25">
      <c r="A384">
        <v>37393</v>
      </c>
      <c r="B384" t="s">
        <v>263</v>
      </c>
      <c r="C384" t="s">
        <v>315</v>
      </c>
      <c r="D384" t="s">
        <v>308</v>
      </c>
    </row>
    <row r="385" spans="1:4" x14ac:dyDescent="0.25">
      <c r="A385">
        <v>34454</v>
      </c>
      <c r="B385" t="s">
        <v>211</v>
      </c>
      <c r="C385" t="s">
        <v>316</v>
      </c>
      <c r="D385" t="s">
        <v>317</v>
      </c>
    </row>
    <row r="386" spans="1:4" hidden="1" x14ac:dyDescent="0.25">
      <c r="A386">
        <v>37450</v>
      </c>
      <c r="B386" t="s">
        <v>4</v>
      </c>
      <c r="C386" t="s">
        <v>318</v>
      </c>
      <c r="D386" t="s">
        <v>6</v>
      </c>
    </row>
    <row r="387" spans="1:4" hidden="1" x14ac:dyDescent="0.25">
      <c r="A387">
        <v>36282</v>
      </c>
      <c r="B387" t="s">
        <v>4</v>
      </c>
      <c r="C387" t="s">
        <v>319</v>
      </c>
      <c r="D387" t="s">
        <v>6</v>
      </c>
    </row>
    <row r="388" spans="1:4" hidden="1" x14ac:dyDescent="0.25">
      <c r="A388">
        <v>33857</v>
      </c>
      <c r="B388" t="s">
        <v>4</v>
      </c>
      <c r="C388" t="s">
        <v>320</v>
      </c>
      <c r="D388" t="s">
        <v>61</v>
      </c>
    </row>
    <row r="389" spans="1:4" hidden="1" x14ac:dyDescent="0.25">
      <c r="A389">
        <v>36282</v>
      </c>
      <c r="B389" t="s">
        <v>4</v>
      </c>
      <c r="C389" t="s">
        <v>319</v>
      </c>
      <c r="D389" t="s">
        <v>6</v>
      </c>
    </row>
    <row r="390" spans="1:4" hidden="1" x14ac:dyDescent="0.25">
      <c r="A390">
        <v>32354</v>
      </c>
      <c r="B390" t="s">
        <v>263</v>
      </c>
      <c r="C390" t="s">
        <v>321</v>
      </c>
      <c r="D390" t="s">
        <v>308</v>
      </c>
    </row>
    <row r="391" spans="1:4" hidden="1" x14ac:dyDescent="0.25">
      <c r="A391">
        <v>36028</v>
      </c>
      <c r="B391" t="s">
        <v>4</v>
      </c>
      <c r="C391" t="s">
        <v>322</v>
      </c>
      <c r="D391" t="s">
        <v>6</v>
      </c>
    </row>
    <row r="392" spans="1:4" hidden="1" x14ac:dyDescent="0.25">
      <c r="A392">
        <v>32355</v>
      </c>
      <c r="B392" t="s">
        <v>263</v>
      </c>
      <c r="C392" t="s">
        <v>323</v>
      </c>
      <c r="D392" t="s">
        <v>308</v>
      </c>
    </row>
    <row r="393" spans="1:4" hidden="1" x14ac:dyDescent="0.25">
      <c r="A393">
        <v>38172</v>
      </c>
      <c r="B393" t="s">
        <v>4</v>
      </c>
      <c r="C393" t="s">
        <v>324</v>
      </c>
      <c r="D393" t="s">
        <v>6</v>
      </c>
    </row>
    <row r="394" spans="1:4" hidden="1" x14ac:dyDescent="0.25">
      <c r="A394">
        <v>39024</v>
      </c>
      <c r="B394" t="s">
        <v>4</v>
      </c>
      <c r="C394" t="s">
        <v>325</v>
      </c>
      <c r="D394" t="s">
        <v>6</v>
      </c>
    </row>
    <row r="395" spans="1:4" hidden="1" x14ac:dyDescent="0.25">
      <c r="A395">
        <v>38405</v>
      </c>
      <c r="B395" t="s">
        <v>4</v>
      </c>
      <c r="C395" t="s">
        <v>326</v>
      </c>
      <c r="D395" t="s">
        <v>6</v>
      </c>
    </row>
    <row r="396" spans="1:4" hidden="1" x14ac:dyDescent="0.25">
      <c r="A396">
        <v>39025</v>
      </c>
      <c r="B396" t="s">
        <v>4</v>
      </c>
      <c r="C396" t="s">
        <v>327</v>
      </c>
      <c r="D396" t="s">
        <v>6</v>
      </c>
    </row>
    <row r="397" spans="1:4" hidden="1" x14ac:dyDescent="0.25">
      <c r="A397">
        <v>37420</v>
      </c>
      <c r="B397" t="s">
        <v>263</v>
      </c>
      <c r="C397" t="s">
        <v>328</v>
      </c>
      <c r="D397" t="s">
        <v>308</v>
      </c>
    </row>
    <row r="398" spans="1:4" hidden="1" x14ac:dyDescent="0.25">
      <c r="A398">
        <v>32433</v>
      </c>
      <c r="B398" t="s">
        <v>263</v>
      </c>
      <c r="C398" t="s">
        <v>329</v>
      </c>
      <c r="D398" t="s">
        <v>308</v>
      </c>
    </row>
    <row r="399" spans="1:4" hidden="1" x14ac:dyDescent="0.25">
      <c r="A399">
        <v>34419</v>
      </c>
      <c r="B399" t="s">
        <v>263</v>
      </c>
      <c r="C399" t="s">
        <v>330</v>
      </c>
      <c r="D399" t="s">
        <v>308</v>
      </c>
    </row>
    <row r="400" spans="1:4" hidden="1" x14ac:dyDescent="0.25">
      <c r="A400">
        <v>34415</v>
      </c>
      <c r="B400" t="s">
        <v>263</v>
      </c>
      <c r="C400" t="s">
        <v>331</v>
      </c>
      <c r="D400" t="s">
        <v>308</v>
      </c>
    </row>
    <row r="401" spans="1:4" hidden="1" x14ac:dyDescent="0.25">
      <c r="A401">
        <v>371</v>
      </c>
      <c r="B401" t="s">
        <v>4</v>
      </c>
      <c r="C401" t="s">
        <v>192</v>
      </c>
      <c r="D401" t="s">
        <v>6</v>
      </c>
    </row>
    <row r="402" spans="1:4" ht="16.5" hidden="1" x14ac:dyDescent="0.3">
      <c r="A402" s="1">
        <v>38404</v>
      </c>
      <c r="B402" t="s">
        <v>4</v>
      </c>
      <c r="C402" s="1" t="s">
        <v>409</v>
      </c>
      <c r="D402" t="s">
        <v>6</v>
      </c>
    </row>
    <row r="403" spans="1:4" ht="16.5" hidden="1" x14ac:dyDescent="0.3">
      <c r="A403" s="1">
        <v>34405</v>
      </c>
      <c r="B403" t="s">
        <v>263</v>
      </c>
      <c r="C403" s="1" t="s">
        <v>410</v>
      </c>
      <c r="D403" t="s">
        <v>308</v>
      </c>
    </row>
    <row r="404" spans="1:4" ht="16.5" hidden="1" x14ac:dyDescent="0.3">
      <c r="A404" s="1">
        <v>37625</v>
      </c>
      <c r="B404" t="s">
        <v>263</v>
      </c>
      <c r="C404" s="1" t="s">
        <v>411</v>
      </c>
      <c r="D404" t="s">
        <v>308</v>
      </c>
    </row>
    <row r="405" spans="1:4" ht="16.5" hidden="1" x14ac:dyDescent="0.3">
      <c r="A405" s="1">
        <v>27001</v>
      </c>
      <c r="B405" t="s">
        <v>263</v>
      </c>
      <c r="C405" s="1" t="s">
        <v>412</v>
      </c>
      <c r="D405" t="s">
        <v>308</v>
      </c>
    </row>
    <row r="406" spans="1:4" ht="16.5" hidden="1" x14ac:dyDescent="0.3">
      <c r="A406" s="1">
        <v>24408</v>
      </c>
      <c r="B406" t="s">
        <v>263</v>
      </c>
      <c r="C406" s="1" t="s">
        <v>413</v>
      </c>
      <c r="D406" t="s">
        <v>308</v>
      </c>
    </row>
    <row r="407" spans="1:4" ht="16.5" hidden="1" x14ac:dyDescent="0.3">
      <c r="A407" s="1">
        <v>9466</v>
      </c>
      <c r="B407" t="s">
        <v>263</v>
      </c>
      <c r="C407" s="1" t="s">
        <v>414</v>
      </c>
      <c r="D407" t="s">
        <v>308</v>
      </c>
    </row>
  </sheetData>
  <autoFilter ref="A1:D407" xr:uid="{00965BEA-3F7A-4D6E-8399-48CDDFA08F40}">
    <filterColumn colId="1">
      <filters>
        <filter val="NAB"/>
        <filter val="NAB ZERO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CESTA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MENDONÇA COSTA</dc:creator>
  <cp:lastModifiedBy>RODRIGO MENDONÇA COSTA</cp:lastModifiedBy>
  <dcterms:created xsi:type="dcterms:W3CDTF">2026-10-14T21:06:00Z</dcterms:created>
  <dcterms:modified xsi:type="dcterms:W3CDTF">2026-10-20T20:31:48Z</dcterms:modified>
</cp:coreProperties>
</file>